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INGENIEUR\Documents\Memoire\"/>
    </mc:Choice>
  </mc:AlternateContent>
  <xr:revisionPtr revIDLastSave="0" documentId="13_ncr:1_{F40FE715-DF2A-463D-903B-68B430F25FF4}" xr6:coauthVersionLast="47" xr6:coauthVersionMax="47" xr10:uidLastSave="{00000000-0000-0000-0000-000000000000}"/>
  <bookViews>
    <workbookView xWindow="-120" yWindow="-120" windowWidth="20730" windowHeight="11760" activeTab="4" xr2:uid="{C5D30603-49B4-4149-8EA2-C10BFE47DE84}"/>
  </bookViews>
  <sheets>
    <sheet name="Feuil1" sheetId="3" r:id="rId1"/>
    <sheet name="Feuil2" sheetId="4" r:id="rId2"/>
    <sheet name="Data_Aheme" sheetId="1" r:id="rId3"/>
    <sheet name="Metadata" sheetId="2" r:id="rId4"/>
    <sheet name="df_aheme" sheetId="6" r:id="rId5"/>
    <sheet name="Feuil3" sheetId="5" r:id="rId6"/>
  </sheets>
  <definedNames>
    <definedName name="_xlnm._FilterDatabase" localSheetId="2" hidden="1">Data_Aheme!$A$1:$Z$131</definedName>
    <definedName name="DonnéesExternes_1" localSheetId="4" hidden="1">df_aheme!$A$1:$L$11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12" i="1"/>
  <c r="C36" i="1"/>
  <c r="C68" i="1"/>
  <c r="C100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D61B12-8192-4215-AFC2-5FADE906D339}" keepAlive="1" name="Requête - df_aheme" description="Connexion à la requête « df_aheme » dans le classeur." type="5" refreshedVersion="8" background="1" saveData="1">
    <dbPr connection="Provider=Microsoft.Mashup.OleDb.1;Data Source=$Workbook$;Location=df_aheme;Extended Properties=&quot;&quot;" command="SELECT * FROM [df_aheme]"/>
  </connection>
</connections>
</file>

<file path=xl/sharedStrings.xml><?xml version="1.0" encoding="utf-8"?>
<sst xmlns="http://schemas.openxmlformats.org/spreadsheetml/2006/main" count="297" uniqueCount="64">
  <si>
    <t>Date</t>
  </si>
  <si>
    <t>Heure</t>
  </si>
  <si>
    <t>Code</t>
  </si>
  <si>
    <t>Stations</t>
  </si>
  <si>
    <t>X</t>
  </si>
  <si>
    <t>Y</t>
  </si>
  <si>
    <t>Temperature</t>
  </si>
  <si>
    <t>Conductivity</t>
  </si>
  <si>
    <t>Salinity</t>
  </si>
  <si>
    <t>O2</t>
  </si>
  <si>
    <t>Saturation</t>
  </si>
  <si>
    <t>pH</t>
  </si>
  <si>
    <t>Redox</t>
  </si>
  <si>
    <t>Transparence</t>
  </si>
  <si>
    <t>Turbidity</t>
  </si>
  <si>
    <t>Chl-a</t>
  </si>
  <si>
    <t>N-NO2</t>
  </si>
  <si>
    <t>N-NH4</t>
  </si>
  <si>
    <t>N-NO3</t>
  </si>
  <si>
    <t>P-PO4</t>
  </si>
  <si>
    <t>PT</t>
  </si>
  <si>
    <t>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</si>
  <si>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</si>
  <si>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</si>
  <si>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</si>
  <si>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</si>
  <si>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</si>
  <si>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</si>
  <si>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</si>
  <si>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</si>
  <si>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</si>
  <si>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</si>
  <si>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en °C</t>
  </si>
  <si>
    <t>ms/cm</t>
  </si>
  <si>
    <t>psu</t>
  </si>
  <si>
    <t>mg/L</t>
  </si>
  <si>
    <t>%</t>
  </si>
  <si>
    <t>mV</t>
  </si>
  <si>
    <t>cm</t>
  </si>
  <si>
    <t>NTU</t>
  </si>
  <si>
    <t>µg/L</t>
  </si>
  <si>
    <t>Jour de prélèvement</t>
  </si>
  <si>
    <t>Heure de prélèvement</t>
  </si>
  <si>
    <t>Point de prélèvement</t>
  </si>
  <si>
    <t>Longitude</t>
  </si>
  <si>
    <t>Latitude</t>
  </si>
  <si>
    <t>code spécifique pour chaque mois de prélèvement</t>
  </si>
  <si>
    <t>Long</t>
  </si>
  <si>
    <t>Lat</t>
  </si>
  <si>
    <t>Chl_a</t>
  </si>
  <si>
    <t>N_NO2</t>
  </si>
  <si>
    <t>N_NH4</t>
  </si>
  <si>
    <t>N_NO3</t>
  </si>
  <si>
    <t>P_PO4</t>
  </si>
  <si>
    <t>Saison</t>
  </si>
  <si>
    <t>Mois_jr</t>
  </si>
  <si>
    <t>Étiquettes de lignes</t>
  </si>
  <si>
    <t>Total général</t>
  </si>
  <si>
    <t>GSP</t>
  </si>
  <si>
    <t>GSS</t>
  </si>
  <si>
    <t>PSP</t>
  </si>
  <si>
    <t>PSS</t>
  </si>
  <si>
    <t>Moyenne de pH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</si>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</sst>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d/m;@"/>
    <numFmt numFmtId="167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164" fontId="18" fillId="0" borderId="0" xfId="42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_Coordonnées_gps" xfId="42" xr:uid="{EF0D5B82-C2CE-4098-90FD-3CB8D98C47FD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2"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 ORDINATEUR" refreshedDate="45898.747329861108" createdVersion="7" refreshedVersion="7" minRefreshableVersion="3" recordCount="130" xr:uid="{BD75E656-2A31-4446-97F6-CCCC1B9071B3}">
  <cacheSource type="worksheet">
    <worksheetSource ref="A1:Z131" sheet="Data_Aheme"/>
  </cacheSource>
  <cacheFields count="26">
    <cacheField name="Date" numFmtId="14">
      <sharedItems containsSemiMixedTypes="0" containsNonDate="0" containsDate="1" containsString="0" minDate="2023-10-05T00:00:00" maxDate="2024-10-11T00:00:00"/>
    </cacheField>
    <cacheField name="Mois_jr" numFmtId="166">
      <sharedItems/>
    </cacheField>
    <cacheField name="Saison" numFmtId="14">
      <sharedItems count="4">
        <s v="PSP"/>
        <s v="GSS"/>
        <s v="GSP"/>
        <s v="PSS"/>
      </sharedItems>
    </cacheField>
    <cacheField name="Heure" numFmtId="20">
      <sharedItems containsSemiMixedTypes="0" containsNonDate="0" containsDate="1" containsString="0" minDate="1899-12-30T08:54:00" maxDate="1899-12-30T17:41:00"/>
    </cacheField>
    <cacheField name="Code" numFmtId="0">
      <sharedItems containsSemiMixedTypes="0" containsString="0" containsNumber="1" containsInteger="1" minValue="1" maxValue="13"/>
    </cacheField>
    <cacheField name="Stations" numFmtId="0">
      <sharedItems count="10">
        <s v="A1"/>
        <s v="A2"/>
        <s v="A3"/>
        <s v="A4"/>
        <s v="A5"/>
        <s v="A6"/>
        <s v="A7"/>
        <s v="A8"/>
        <s v="A9"/>
        <s v="A10"/>
      </sharedItems>
    </cacheField>
    <cacheField name="X" numFmtId="165">
      <sharedItems containsSemiMixedTypes="0" containsString="0" containsNumber="1" minValue="1.9348000000000001" maxValue="1.9933000000000001"/>
    </cacheField>
    <cacheField name="Y" numFmtId="165">
      <sharedItems containsSemiMixedTypes="0" containsString="0" containsNumber="1" minValue="6.3917999999999999" maxValue="6.5894000000000004"/>
    </cacheField>
    <cacheField name="Temperature" numFmtId="0">
      <sharedItems containsSemiMixedTypes="0" containsString="0" containsNumber="1" minValue="25" maxValue="33"/>
    </cacheField>
    <cacheField name="Conductivity" numFmtId="0">
      <sharedItems containsSemiMixedTypes="0" containsString="0" containsNumber="1" minValue="0.11" maxValue="48.1"/>
    </cacheField>
    <cacheField name="Salinity" numFmtId="0">
      <sharedItems containsSemiMixedTypes="0" containsString="0" containsNumber="1" minValue="0" maxValue="31.7"/>
    </cacheField>
    <cacheField name="O2" numFmtId="0">
      <sharedItems containsSemiMixedTypes="0" containsString="0" containsNumber="1" minValue="2.08" maxValue="8.31"/>
    </cacheField>
    <cacheField name="Saturation" numFmtId="0">
      <sharedItems containsSemiMixedTypes="0" containsString="0" containsNumber="1" minValue="26.5" maxValue="112.1"/>
    </cacheField>
    <cacheField name="pH" numFmtId="0">
      <sharedItems containsString="0" containsBlank="1" containsNumber="1" minValue="6.88" maxValue="8.66"/>
    </cacheField>
    <cacheField name="Redox" numFmtId="0">
      <sharedItems containsString="0" containsBlank="1" containsNumber="1" minValue="-136" maxValue="-12.4"/>
    </cacheField>
    <cacheField name="Transparence" numFmtId="0">
      <sharedItems containsString="0" containsBlank="1" containsNumber="1" minValue="19" maxValue="136"/>
    </cacheField>
    <cacheField name="Turbidity" numFmtId="0">
      <sharedItems containsSemiMixedTypes="0" containsString="0" containsNumber="1" minValue="4.8" maxValue="145.19999999999999"/>
    </cacheField>
    <cacheField name="Chl_a" numFmtId="0">
      <sharedItems containsString="0" containsBlank="1" containsNumber="1" minValue="0" maxValue="20.9"/>
    </cacheField>
    <cacheField name="N_NO2" numFmtId="0">
      <sharedItems containsSemiMixedTypes="0" containsString="0" containsNumber="1" minValue="0.6" maxValue="63.85"/>
    </cacheField>
    <cacheField name="N_NH4" numFmtId="0">
      <sharedItems containsSemiMixedTypes="0" containsString="0" containsNumber="1" minValue="0.24" maxValue="245.75"/>
    </cacheField>
    <cacheField name="N_NO3" numFmtId="0">
      <sharedItems containsString="0" containsBlank="1" containsNumber="1" minValue="0.03" maxValue="0.25"/>
    </cacheField>
    <cacheField name="P_PO4" numFmtId="0">
      <sharedItems containsString="0" containsBlank="1" containsNumber="1" minValue="10.95" maxValue="341.09"/>
    </cacheField>
    <cacheField name="PT" numFmtId="0">
      <sharedItems containsString="0" containsBlank="1" containsNumber="1" minValue="63.85" maxValue="704.24"/>
    </cacheField>
    <cacheField name="NT" numFmtId="0">
      <sharedItems containsString="0" containsBlank="1" containsNumber="1" minValue="0.18" maxValue="37.909999999999997"/>
    </cacheField>
    <cacheField name="Long" numFmtId="164">
      <sharedItems containsSemiMixedTypes="0" containsString="0" containsNumber="1" minValue="382202.13294807624" maxValue="388689.34009811806"/>
    </cacheField>
    <cacheField name="Lat" numFmtId="164">
      <sharedItems containsSemiMixedTypes="0" containsString="0" containsNumber="1" minValue="706304.35337691102" maxValue="728473.832198498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d v="2023-10-05T00:00:00"/>
    <s v="10-05"/>
    <x v="0"/>
    <d v="1899-12-30T09:05:00"/>
    <n v="1"/>
    <x v="0"/>
    <n v="1.93618"/>
    <n v="6.3917999999999999"/>
    <n v="29.1"/>
    <n v="2.7"/>
    <n v="1.4"/>
    <n v="6.05"/>
    <n v="78.400000000000006"/>
    <n v="8.08"/>
    <m/>
    <m/>
    <n v="67.86"/>
    <m/>
    <n v="8.23"/>
    <n v="150.4"/>
    <n v="0.17"/>
    <n v="167.98"/>
    <n v="250.98"/>
    <n v="22.36"/>
    <n v="382769.63003693346"/>
    <n v="706304.35337691102"/>
  </r>
  <r>
    <d v="2023-10-05T00:00:00"/>
    <s v="10-05"/>
    <x v="0"/>
    <d v="1899-12-30T09:31:00"/>
    <n v="1"/>
    <x v="1"/>
    <n v="1.9513"/>
    <n v="6.4095000000000004"/>
    <n v="29.2"/>
    <n v="2.27"/>
    <n v="1.1000000000000001"/>
    <n v="6.62"/>
    <n v="86"/>
    <n v="8.3699999999999992"/>
    <n v="-112"/>
    <m/>
    <n v="49.66"/>
    <m/>
    <n v="12.47"/>
    <n v="131.76"/>
    <n v="0.16"/>
    <n v="169.26"/>
    <n v="233.1"/>
    <n v="24.59"/>
    <n v="384024.1570784403"/>
    <n v="708590.42751502525"/>
  </r>
  <r>
    <d v="2023-10-05T00:00:00"/>
    <s v="10-05"/>
    <x v="0"/>
    <d v="1899-12-30T10:00:00"/>
    <n v="1"/>
    <x v="2"/>
    <n v="1.9669000000000001"/>
    <n v="6.4546000000000001"/>
    <n v="29.4"/>
    <n v="2.76"/>
    <n v="1.4"/>
    <n v="7.01"/>
    <n v="91.4"/>
    <n v="8.43"/>
    <n v="-120"/>
    <m/>
    <n v="33.14"/>
    <m/>
    <n v="10.210000000000001"/>
    <n v="104.36"/>
    <n v="0.2"/>
    <n v="190.97"/>
    <n v="230.55"/>
    <n v="24.96"/>
    <n v="385759.62074491731"/>
    <n v="713573.25678037247"/>
  </r>
  <r>
    <d v="2023-10-05T00:00:00"/>
    <s v="10-05"/>
    <x v="0"/>
    <d v="1899-12-30T10:31:00"/>
    <n v="1"/>
    <x v="3"/>
    <n v="1.9933000000000001"/>
    <n v="6.5007000000000001"/>
    <n v="29.7"/>
    <n v="2.06"/>
    <n v="1"/>
    <n v="7.6"/>
    <n v="92.5"/>
    <n v="8.41"/>
    <n v="-117"/>
    <m/>
    <n v="32.76"/>
    <m/>
    <n v="7.38"/>
    <n v="86.83"/>
    <n v="0.14000000000000001"/>
    <n v="166.71"/>
    <n v="222.89"/>
    <n v="26.4"/>
    <n v="388689.34009811806"/>
    <n v="718664.2720532401"/>
  </r>
  <r>
    <d v="2023-10-05T00:00:00"/>
    <s v="10-05"/>
    <x v="0"/>
    <d v="1899-12-30T10:58:00"/>
    <n v="1"/>
    <x v="4"/>
    <n v="1.984"/>
    <n v="6.5294999999999996"/>
    <n v="29.9"/>
    <n v="0.74"/>
    <n v="0.3"/>
    <n v="6.91"/>
    <n v="90.8"/>
    <n v="8.44"/>
    <n v="-123"/>
    <m/>
    <n v="31.56"/>
    <m/>
    <n v="10.49"/>
    <n v="71.48"/>
    <n v="0.2"/>
    <n v="153.94"/>
    <n v="192.24"/>
    <n v="20.309999999999999"/>
    <n v="387667.34262385243"/>
    <n v="721850.49534728227"/>
  </r>
  <r>
    <d v="2023-10-05T00:00:00"/>
    <s v="10-05"/>
    <x v="0"/>
    <d v="1899-12-30T11:09:00"/>
    <n v="1"/>
    <x v="5"/>
    <n v="1.9822"/>
    <n v="6.5602"/>
    <n v="30.2"/>
    <n v="0.7"/>
    <n v="0.3"/>
    <n v="6.95"/>
    <n v="91.9"/>
    <n v="8.34"/>
    <n v="-118"/>
    <m/>
    <n v="32.58"/>
    <m/>
    <n v="12.47"/>
    <n v="80.25"/>
    <n v="0.17"/>
    <n v="152.66"/>
    <n v="192.24"/>
    <n v="19.670000000000002"/>
    <n v="387475.18079440482"/>
    <n v="725245.13735641493"/>
  </r>
  <r>
    <d v="2023-10-05T00:00:00"/>
    <s v="10-05"/>
    <x v="0"/>
    <d v="1899-12-30T11:27:00"/>
    <n v="1"/>
    <x v="6"/>
    <n v="1.9809000000000001"/>
    <n v="6.5894000000000004"/>
    <n v="30.5"/>
    <n v="0.72"/>
    <n v="0.3"/>
    <n v="7.02"/>
    <n v="93.2"/>
    <n v="8.18"/>
    <n v="-113"/>
    <m/>
    <n v="26.96"/>
    <m/>
    <n v="9.93"/>
    <n v="59.43"/>
    <n v="0.2"/>
    <n v="133.51"/>
    <n v="182.03"/>
    <n v="24.78"/>
    <n v="387338.0175576139"/>
    <n v="728473.83219849819"/>
  </r>
  <r>
    <d v="2023-10-05T00:00:00"/>
    <s v="10-05"/>
    <x v="0"/>
    <d v="1899-12-30T12:59:00"/>
    <n v="1"/>
    <x v="7"/>
    <n v="1.9655"/>
    <n v="6.4878"/>
    <n v="30.1"/>
    <n v="0.57999999999999996"/>
    <n v="0.2"/>
    <n v="7.76"/>
    <n v="102.4"/>
    <n v="8.6300000000000008"/>
    <n v="-119"/>
    <m/>
    <n v="51.06"/>
    <m/>
    <n v="11.62"/>
    <n v="83.54"/>
    <n v="0.22"/>
    <n v="157.77000000000001"/>
    <n v="220.33"/>
    <n v="21.2"/>
    <n v="385612.26229542762"/>
    <n v="717244.22352549795"/>
  </r>
  <r>
    <d v="2023-10-05T00:00:00"/>
    <s v="10-05"/>
    <x v="0"/>
    <d v="1899-12-30T13:21:00"/>
    <n v="1"/>
    <x v="8"/>
    <n v="1.9373"/>
    <n v="6.4568000000000003"/>
    <n v="29.8"/>
    <n v="1.44"/>
    <n v="0.7"/>
    <n v="7.7"/>
    <n v="101.2"/>
    <n v="8.5500000000000007"/>
    <n v="-106"/>
    <m/>
    <n v="46.48"/>
    <m/>
    <n v="10.78"/>
    <n v="79.16"/>
    <n v="0.14000000000000001"/>
    <n v="155.22"/>
    <n v="221.61"/>
    <n v="26.25"/>
    <n v="382486.59163122613"/>
    <n v="713823.2259921059"/>
  </r>
  <r>
    <d v="2023-10-05T00:00:00"/>
    <s v="10-05"/>
    <x v="0"/>
    <d v="1899-12-30T13:41:00"/>
    <n v="1"/>
    <x v="9"/>
    <n v="1.9348000000000001"/>
    <n v="6.4222000000000001"/>
    <n v="29.5"/>
    <n v="2.09"/>
    <n v="1.1000000000000001"/>
    <n v="7"/>
    <n v="91.5"/>
    <n v="8.3000000000000007"/>
    <n v="-101"/>
    <m/>
    <n v="42.2"/>
    <m/>
    <n v="12.47"/>
    <n v="124.09"/>
    <n v="0.21"/>
    <n v="176.92"/>
    <n v="229.27"/>
    <n v="24.04"/>
    <n v="382202.13294807624"/>
    <n v="709998.33191742201"/>
  </r>
  <r>
    <d v="2023-11-02T00:00:00"/>
    <s v="11-02"/>
    <x v="1"/>
    <d v="1899-12-30T09:06:00"/>
    <n v="2"/>
    <x v="0"/>
    <n v="1.93618"/>
    <n v="6.3917999999999999"/>
    <n v="29.1"/>
    <n v="0.11"/>
    <n v="0.5"/>
    <n v="6.48"/>
    <n v="84.1"/>
    <n v="7.8"/>
    <n v="-87"/>
    <m/>
    <n v="72.34"/>
    <n v="1.19"/>
    <n v="6.82"/>
    <n v="86.83"/>
    <m/>
    <n v="183.31"/>
    <n v="249.7"/>
    <n v="24.01"/>
    <n v="382769.63003693346"/>
    <n v="706304.35337691102"/>
  </r>
  <r>
    <d v="2023-11-02T00:00:00"/>
    <s v="11-02"/>
    <x v="1"/>
    <d v="1899-12-30T09:41:00"/>
    <n v="2"/>
    <x v="1"/>
    <n v="1.9513"/>
    <n v="6.4095000000000004"/>
    <n v="29.2"/>
    <n v="0.76"/>
    <n v="0.3"/>
    <n v="6.63"/>
    <n v="87.2"/>
    <n v="8.31"/>
    <n v="-101"/>
    <m/>
    <n v="87.4"/>
    <n v="4.22"/>
    <n v="7.1"/>
    <n v="58.33"/>
    <m/>
    <n v="178.2"/>
    <n v="261.19"/>
    <n v="23.13"/>
    <n v="384024.1570784403"/>
    <n v="708590.42751502525"/>
  </r>
  <r>
    <d v="2023-11-02T00:00:00"/>
    <s v="11-02"/>
    <x v="1"/>
    <d v="1899-12-30T10:17:00"/>
    <n v="2"/>
    <x v="2"/>
    <n v="1.9669000000000001"/>
    <n v="6.4546000000000001"/>
    <n v="29.5"/>
    <n v="0.28999999999999998"/>
    <n v="0"/>
    <n v="6.88"/>
    <n v="89.8"/>
    <n v="8.1999999999999993"/>
    <n v="-84"/>
    <m/>
    <n v="49.64"/>
    <n v="1.34"/>
    <n v="6.82"/>
    <n v="42.99"/>
    <m/>
    <n v="146.28"/>
    <n v="176.92"/>
    <n v="15.75"/>
    <n v="385759.62074491731"/>
    <n v="713573.25678037247"/>
  </r>
  <r>
    <d v="2023-11-02T00:00:00"/>
    <s v="11-02"/>
    <x v="1"/>
    <d v="1899-12-30T10:45:00"/>
    <n v="2"/>
    <x v="3"/>
    <n v="1.9933000000000001"/>
    <n v="6.5007000000000001"/>
    <n v="30"/>
    <n v="0.25"/>
    <n v="0"/>
    <n v="6.92"/>
    <n v="91.4"/>
    <n v="8.33"/>
    <n v="-78"/>
    <m/>
    <n v="30.12"/>
    <n v="2.2799999999999998"/>
    <n v="4.84"/>
    <n v="37.51"/>
    <m/>
    <n v="138.62"/>
    <n v="184.58"/>
    <n v="14.19"/>
    <n v="388689.34009811806"/>
    <n v="718664.2720532401"/>
  </r>
  <r>
    <d v="2023-11-02T00:00:00"/>
    <s v="11-02"/>
    <x v="1"/>
    <d v="1899-12-30T11:07:00"/>
    <n v="2"/>
    <x v="4"/>
    <n v="1.984"/>
    <n v="6.5294999999999996"/>
    <n v="29.9"/>
    <n v="0.3"/>
    <n v="0.1"/>
    <n v="6.83"/>
    <n v="89.1"/>
    <n v="8.23"/>
    <n v="-86"/>
    <m/>
    <n v="25.82"/>
    <n v="4.2699999999999996"/>
    <n v="5.12"/>
    <n v="18.88"/>
    <m/>
    <n v="136.06"/>
    <n v="175.65"/>
    <n v="18.350000000000001"/>
    <n v="387667.34262385243"/>
    <n v="721850.49534728227"/>
  </r>
  <r>
    <d v="2023-11-02T00:00:00"/>
    <s v="11-02"/>
    <x v="1"/>
    <d v="1899-12-30T11:23:00"/>
    <n v="2"/>
    <x v="5"/>
    <n v="1.9822"/>
    <n v="6.5602"/>
    <n v="30"/>
    <n v="0.21"/>
    <n v="0"/>
    <n v="6.28"/>
    <n v="83.1"/>
    <n v="7.97"/>
    <n v="-76"/>
    <m/>
    <n v="16.260000000000002"/>
    <n v="4.2699999999999996"/>
    <n v="3.14"/>
    <n v="26.55"/>
    <m/>
    <n v="105.42"/>
    <n v="125.85"/>
    <n v="20.89"/>
    <n v="387475.18079440482"/>
    <n v="725245.13735641493"/>
  </r>
  <r>
    <d v="2023-11-02T00:00:00"/>
    <s v="11-02"/>
    <x v="1"/>
    <d v="1899-12-30T11:47:00"/>
    <n v="2"/>
    <x v="6"/>
    <n v="1.9809000000000001"/>
    <n v="6.5894000000000004"/>
    <n v="30.1"/>
    <n v="0.17"/>
    <n v="0"/>
    <n v="4.41"/>
    <n v="57.3"/>
    <n v="7.61"/>
    <n v="-70"/>
    <m/>
    <n v="5.52"/>
    <n v="3.2"/>
    <n v="2.0099999999999998"/>
    <n v="21.07"/>
    <m/>
    <n v="92.65"/>
    <n v="137.34"/>
    <n v="17.93"/>
    <n v="387338.0175576139"/>
    <n v="728473.83219849819"/>
  </r>
  <r>
    <d v="2023-11-02T00:00:00"/>
    <s v="11-02"/>
    <x v="1"/>
    <d v="1899-12-30T13:13:00"/>
    <n v="2"/>
    <x v="7"/>
    <n v="1.9655"/>
    <n v="6.4878"/>
    <n v="31"/>
    <n v="0.49"/>
    <n v="0.2"/>
    <n v="7.7"/>
    <n v="103.2"/>
    <n v="8.48"/>
    <n v="-117"/>
    <m/>
    <n v="57.42"/>
    <n v="5.34"/>
    <n v="6.82"/>
    <n v="46.28"/>
    <m/>
    <n v="151.38999999999999"/>
    <n v="213.95"/>
    <n v="26.71"/>
    <n v="385612.26229542762"/>
    <n v="717244.22352549795"/>
  </r>
  <r>
    <d v="2023-11-02T00:00:00"/>
    <s v="11-02"/>
    <x v="1"/>
    <d v="1899-12-30T13:34:00"/>
    <n v="2"/>
    <x v="8"/>
    <n v="1.9373"/>
    <n v="6.4568000000000003"/>
    <n v="30.3"/>
    <n v="0.93"/>
    <n v="0.4"/>
    <n v="7.31"/>
    <n v="97.2"/>
    <n v="8.5399999999999991"/>
    <n v="-127"/>
    <m/>
    <n v="64.72"/>
    <n v="6.41"/>
    <n v="6.53"/>
    <n v="34.22"/>
    <m/>
    <n v="175.65"/>
    <n v="235.65"/>
    <n v="29.7"/>
    <n v="382486.59163122613"/>
    <n v="713823.2259921059"/>
  </r>
  <r>
    <d v="2023-11-02T00:00:00"/>
    <s v="11-02"/>
    <x v="1"/>
    <d v="1899-12-30T13:57:00"/>
    <n v="2"/>
    <x v="9"/>
    <n v="1.9348000000000001"/>
    <n v="6.4222000000000001"/>
    <n v="30.6"/>
    <n v="0.15"/>
    <n v="0.7"/>
    <n v="5.58"/>
    <n v="72.5"/>
    <n v="8.19"/>
    <n v="-136"/>
    <m/>
    <n v="48.7"/>
    <n v="5.34"/>
    <n v="7.1"/>
    <n v="62.72"/>
    <m/>
    <n v="176.92"/>
    <n v="222.89"/>
    <n v="27.1"/>
    <n v="382202.13294807624"/>
    <n v="709998.33191742201"/>
  </r>
  <r>
    <d v="2023-12-06T00:00:00"/>
    <s v="12-06"/>
    <x v="1"/>
    <d v="1899-12-30T08:54:00"/>
    <n v="3"/>
    <x v="0"/>
    <n v="1.93618"/>
    <n v="6.3917999999999999"/>
    <n v="29.1"/>
    <n v="0.9"/>
    <n v="0.4"/>
    <n v="5.99"/>
    <n v="77.7"/>
    <n v="7.98"/>
    <n v="-48.7"/>
    <n v="23"/>
    <n v="126"/>
    <n v="1.78"/>
    <n v="10.49"/>
    <n v="132.86000000000001"/>
    <n v="0.2"/>
    <n v="111.81"/>
    <n v="317.37"/>
    <n v="17.04"/>
    <n v="382769.63003693346"/>
    <n v="706304.35337691102"/>
  </r>
  <r>
    <d v="2023-12-06T00:00:00"/>
    <s v="12-06"/>
    <x v="1"/>
    <d v="1899-12-30T09:11:00"/>
    <n v="3"/>
    <x v="1"/>
    <n v="1.9513"/>
    <n v="6.4095000000000004"/>
    <n v="29.6"/>
    <n v="0.65"/>
    <n v="0.2"/>
    <n v="6.94"/>
    <n v="90.8"/>
    <n v="8.23"/>
    <n v="-62"/>
    <n v="26"/>
    <n v="126.2"/>
    <n v="7.12"/>
    <n v="9.36"/>
    <n v="112.04"/>
    <n v="0.19"/>
    <n v="157.77000000000001"/>
    <n v="290.56"/>
    <n v="18.02"/>
    <n v="384024.1570784403"/>
    <n v="708590.42751502525"/>
  </r>
  <r>
    <d v="2023-12-06T00:00:00"/>
    <s v="12-06"/>
    <x v="1"/>
    <d v="1899-12-30T09:40:00"/>
    <n v="3"/>
    <x v="2"/>
    <n v="1.9669000000000001"/>
    <n v="6.4546000000000001"/>
    <n v="30.1"/>
    <n v="0.52"/>
    <n v="0.2"/>
    <n v="6.81"/>
    <n v="90.1"/>
    <n v="8.17"/>
    <n v="-58.6"/>
    <n v="28"/>
    <n v="95.6"/>
    <n v="5.34"/>
    <n v="10.49"/>
    <n v="85.73"/>
    <n v="0.19"/>
    <n v="137.34"/>
    <n v="291.83"/>
    <n v="15.97"/>
    <n v="385759.62074491731"/>
    <n v="713573.25678037247"/>
  </r>
  <r>
    <d v="2023-12-06T00:00:00"/>
    <s v="12-06"/>
    <x v="1"/>
    <d v="1899-12-30T10:10:00"/>
    <n v="3"/>
    <x v="3"/>
    <n v="1.9933000000000001"/>
    <n v="6.5007000000000001"/>
    <n v="30.7"/>
    <n v="0.46"/>
    <n v="0.1"/>
    <n v="6.98"/>
    <n v="93"/>
    <n v="8.1999999999999993"/>
    <n v="-60.8"/>
    <n v="31"/>
    <n v="78.459999999999994"/>
    <n v="1.78"/>
    <n v="8.23"/>
    <n v="82.44"/>
    <n v="0.16"/>
    <n v="141.16999999999999"/>
    <n v="281.62"/>
    <n v="13.98"/>
    <n v="388689.34009811806"/>
    <n v="718664.2720532401"/>
  </r>
  <r>
    <d v="2023-12-06T00:00:00"/>
    <s v="12-06"/>
    <x v="1"/>
    <d v="1899-12-30T10:40:00"/>
    <n v="3"/>
    <x v="4"/>
    <n v="1.984"/>
    <n v="6.5294999999999996"/>
    <n v="30.7"/>
    <n v="0.4"/>
    <n v="0.1"/>
    <n v="7.18"/>
    <n v="95.5"/>
    <n v="8.2200000000000006"/>
    <n v="-61.8"/>
    <n v="31"/>
    <n v="62.56"/>
    <n v="5.34"/>
    <n v="6.82"/>
    <n v="73.680000000000007"/>
    <n v="0.2"/>
    <n v="129.68"/>
    <n v="266.3"/>
    <n v="16.03"/>
    <n v="387667.34262385243"/>
    <n v="721850.49534728227"/>
  </r>
  <r>
    <d v="2023-12-06T00:00:00"/>
    <s v="12-06"/>
    <x v="1"/>
    <d v="1899-12-30T11:03:00"/>
    <n v="3"/>
    <x v="5"/>
    <n v="1.9822"/>
    <n v="6.5602"/>
    <n v="30.7"/>
    <n v="0.36"/>
    <n v="0.1"/>
    <n v="7.27"/>
    <n v="96.9"/>
    <n v="8.2799999999999994"/>
    <n v="-64"/>
    <n v="31"/>
    <n v="55"/>
    <n v="10.68"/>
    <n v="6.82"/>
    <n v="101.08"/>
    <n v="0.23"/>
    <n v="122.02"/>
    <n v="256.08"/>
    <n v="20.59"/>
    <n v="387475.18079440482"/>
    <n v="725245.13735641493"/>
  </r>
  <r>
    <d v="2023-12-06T00:00:00"/>
    <s v="12-06"/>
    <x v="1"/>
    <d v="1899-12-30T11:17:00"/>
    <n v="3"/>
    <x v="6"/>
    <n v="1.9809000000000001"/>
    <n v="6.5894000000000004"/>
    <n v="31.2"/>
    <n v="0.39"/>
    <n v="0.1"/>
    <n v="6.77"/>
    <n v="91.7"/>
    <n v="8.17"/>
    <n v="-59.1"/>
    <n v="30"/>
    <n v="46.78"/>
    <n v="16.02"/>
    <n v="7.95"/>
    <n v="75.87"/>
    <n v="0.18"/>
    <n v="114.36"/>
    <n v="224.16"/>
    <n v="14.41"/>
    <n v="387338.0175576139"/>
    <n v="728473.83219849819"/>
  </r>
  <r>
    <d v="2023-12-06T00:00:00"/>
    <s v="12-06"/>
    <x v="1"/>
    <d v="1899-12-30T12:44:00"/>
    <n v="3"/>
    <x v="7"/>
    <n v="1.9655"/>
    <n v="6.4878"/>
    <n v="31.9"/>
    <n v="0.55000000000000004"/>
    <n v="0.2"/>
    <n v="6.49"/>
    <n v="101.3"/>
    <n v="8.2100000000000009"/>
    <n v="-62.4"/>
    <n v="23"/>
    <n v="119.4"/>
    <n v="8.01"/>
    <n v="8.51"/>
    <n v="78.06"/>
    <n v="0.17"/>
    <n v="153.94"/>
    <n v="299.49"/>
    <n v="15.08"/>
    <n v="385612.26229542762"/>
    <n v="717244.22352549795"/>
  </r>
  <r>
    <d v="2023-12-06T00:00:00"/>
    <s v="12-06"/>
    <x v="1"/>
    <d v="1899-12-30T13:05:00"/>
    <n v="3"/>
    <x v="8"/>
    <n v="1.9373"/>
    <n v="6.4568000000000003"/>
    <n v="30.8"/>
    <n v="0.56999999999999995"/>
    <n v="0.2"/>
    <n v="7.19"/>
    <n v="95.9"/>
    <n v="8.11"/>
    <n v="-55.8"/>
    <n v="22"/>
    <n v="129"/>
    <n v="8.01"/>
    <n v="9.36"/>
    <n v="81.349999999999994"/>
    <n v="0.16"/>
    <n v="141.16999999999999"/>
    <n v="363.33"/>
    <n v="12.42"/>
    <n v="382486.59163122613"/>
    <n v="713823.2259921059"/>
  </r>
  <r>
    <d v="2023-12-06T00:00:00"/>
    <s v="12-06"/>
    <x v="1"/>
    <d v="1899-12-30T13:22:00"/>
    <n v="3"/>
    <x v="9"/>
    <n v="1.9348000000000001"/>
    <n v="6.4222000000000001"/>
    <n v="32.200000000000003"/>
    <n v="0.17"/>
    <n v="0.9"/>
    <n v="7.25"/>
    <n v="100.3"/>
    <n v="8.15"/>
    <n v="-57.9"/>
    <n v="25"/>
    <n v="56.2"/>
    <n v="2.67"/>
    <n v="4.84"/>
    <n v="84.64"/>
    <n v="0.25"/>
    <n v="146.28"/>
    <n v="277.79000000000002"/>
    <n v="28.02"/>
    <n v="382202.13294807624"/>
    <n v="709998.33191742201"/>
  </r>
  <r>
    <d v="2024-01-18T00:00:00"/>
    <s v="01-18"/>
    <x v="1"/>
    <d v="1899-12-30T09:18:00"/>
    <n v="4"/>
    <x v="0"/>
    <n v="1.93618"/>
    <n v="6.3917999999999999"/>
    <n v="29.1"/>
    <n v="14.18"/>
    <n v="3.2"/>
    <n v="6.87"/>
    <n v="89.1"/>
    <n v="7.91"/>
    <n v="-49.7"/>
    <n v="19"/>
    <n v="90.72"/>
    <n v="2.67"/>
    <n v="1.73"/>
    <n v="40.799999999999997"/>
    <m/>
    <n v="115.64"/>
    <n v="156.49"/>
    <n v="29.21"/>
    <n v="382769.63003693346"/>
    <n v="706304.35337691102"/>
  </r>
  <r>
    <d v="2024-01-18T00:00:00"/>
    <s v="01-18"/>
    <x v="1"/>
    <d v="1899-12-30T09:44:00"/>
    <n v="4"/>
    <x v="1"/>
    <n v="1.9513"/>
    <n v="6.4095000000000004"/>
    <n v="29"/>
    <n v="6.76"/>
    <n v="3.7"/>
    <n v="7.31"/>
    <n v="94.5"/>
    <n v="8.2899999999999991"/>
    <n v="-64.7"/>
    <n v="106"/>
    <n v="7.45"/>
    <n v="1.9"/>
    <n v="2.58"/>
    <n v="19.97"/>
    <m/>
    <n v="13.49"/>
    <n v="258.64"/>
    <n v="32.299999999999997"/>
    <n v="384024.1570784403"/>
    <n v="708590.42751502525"/>
  </r>
  <r>
    <d v="2024-01-18T00:00:00"/>
    <s v="01-18"/>
    <x v="1"/>
    <d v="1899-12-30T10:17:00"/>
    <n v="4"/>
    <x v="2"/>
    <n v="1.9669000000000001"/>
    <n v="6.4546000000000001"/>
    <n v="29.3"/>
    <n v="2.02"/>
    <n v="1"/>
    <n v="7.2"/>
    <n v="93.6"/>
    <n v="8.41"/>
    <n v="-71.3"/>
    <n v="62"/>
    <n v="15.37"/>
    <n v="2.67"/>
    <n v="1.73"/>
    <n v="34.22"/>
    <m/>
    <n v="182.03"/>
    <n v="242.04"/>
    <n v="31.87"/>
    <n v="385759.62074491731"/>
    <n v="713573.25678037247"/>
  </r>
  <r>
    <d v="2024-01-18T00:00:00"/>
    <s v="01-18"/>
    <x v="1"/>
    <d v="1899-12-30T10:45:00"/>
    <n v="4"/>
    <x v="3"/>
    <n v="1.9933000000000001"/>
    <n v="6.5007000000000001"/>
    <n v="29.6"/>
    <n v="0.18"/>
    <n v="0.9"/>
    <n v="7.19"/>
    <n v="93.8"/>
    <n v="8.3800000000000008"/>
    <n v="-69.8"/>
    <n v="64"/>
    <n v="14.44"/>
    <n v="4.45"/>
    <n v="2.29"/>
    <n v="39.700000000000003"/>
    <m/>
    <n v="183.31"/>
    <n v="258.64"/>
    <n v="31.08"/>
    <n v="388689.34009811806"/>
    <n v="718664.2720532401"/>
  </r>
  <r>
    <d v="2024-01-18T00:00:00"/>
    <s v="01-18"/>
    <x v="1"/>
    <d v="1899-12-30T11:04:00"/>
    <n v="4"/>
    <x v="4"/>
    <n v="1.984"/>
    <n v="6.5294999999999996"/>
    <n v="29.8"/>
    <n v="0.11"/>
    <n v="0.5"/>
    <n v="6.98"/>
    <n v="91"/>
    <n v="8.3000000000000007"/>
    <n v="-64.7"/>
    <n v="42"/>
    <n v="27.52"/>
    <n v="2.67"/>
    <n v="4.2699999999999996"/>
    <n v="75.87"/>
    <n v="0.2"/>
    <n v="211.4"/>
    <n v="268.85000000000002"/>
    <n v="33.28"/>
    <n v="387667.34262385243"/>
    <n v="721850.49534728227"/>
  </r>
  <r>
    <d v="2024-01-18T00:00:00"/>
    <s v="01-18"/>
    <x v="1"/>
    <d v="1899-12-30T11:35:00"/>
    <n v="4"/>
    <x v="5"/>
    <n v="1.9822"/>
    <n v="6.5602"/>
    <n v="29.9"/>
    <n v="0.75"/>
    <n v="0.3"/>
    <n v="7"/>
    <n v="92.7"/>
    <n v="8.16"/>
    <n v="-58.5"/>
    <n v="38"/>
    <n v="31.8"/>
    <n v="2.97"/>
    <n v="5.69"/>
    <n v="63.81"/>
    <n v="0.21"/>
    <n v="213.95"/>
    <n v="359.5"/>
    <n v="28.91"/>
    <n v="387475.18079440482"/>
    <n v="725245.13735641493"/>
  </r>
  <r>
    <d v="2024-01-18T00:00:00"/>
    <s v="01-18"/>
    <x v="1"/>
    <d v="1899-12-30T11:51:00"/>
    <n v="4"/>
    <x v="6"/>
    <n v="1.9809000000000001"/>
    <n v="6.5894000000000004"/>
    <n v="29.5"/>
    <n v="0.6"/>
    <n v="0.2"/>
    <n v="7"/>
    <n v="92.6"/>
    <n v="8.31"/>
    <n v="-56.9"/>
    <n v="38"/>
    <n v="31.62"/>
    <n v="8.01"/>
    <n v="7.38"/>
    <n v="39.700000000000003"/>
    <n v="0.18"/>
    <n v="201.18"/>
    <n v="252.25"/>
    <n v="1.77"/>
    <n v="387338.0175576139"/>
    <n v="728473.83219849819"/>
  </r>
  <r>
    <d v="2024-01-18T00:00:00"/>
    <s v="01-18"/>
    <x v="1"/>
    <d v="1899-12-30T13:06:00"/>
    <n v="4"/>
    <x v="7"/>
    <n v="1.9655"/>
    <n v="6.4878"/>
    <n v="30.7"/>
    <n v="0.18"/>
    <n v="0.9"/>
    <n v="7.54"/>
    <n v="100.4"/>
    <n v="8.4600000000000009"/>
    <n v="-74.2"/>
    <n v="62"/>
    <n v="15.74"/>
    <n v="3.56"/>
    <n v="2.29"/>
    <n v="33.119999999999997"/>
    <m/>
    <n v="184.58"/>
    <n v="239.49"/>
    <n v="29.12"/>
    <n v="385612.26229542762"/>
    <n v="717244.22352549795"/>
  </r>
  <r>
    <d v="2024-01-18T00:00:00"/>
    <s v="01-18"/>
    <x v="1"/>
    <d v="1899-12-30T13:34:00"/>
    <n v="4"/>
    <x v="8"/>
    <n v="1.9373"/>
    <n v="6.4568000000000003"/>
    <n v="30.6"/>
    <n v="2.64"/>
    <n v="1.4"/>
    <n v="7.6"/>
    <n v="101.4"/>
    <n v="8.44"/>
    <n v="-73.3"/>
    <n v="68"/>
    <n v="13.26"/>
    <n v="3.56"/>
    <n v="2.0099999999999998"/>
    <n v="56.14"/>
    <m/>
    <n v="188.41"/>
    <n v="238.21"/>
    <n v="35.67"/>
    <n v="382486.59163122613"/>
    <n v="713823.2259921059"/>
  </r>
  <r>
    <d v="2024-01-18T00:00:00"/>
    <s v="01-18"/>
    <x v="1"/>
    <d v="1899-12-30T13:54:00"/>
    <n v="4"/>
    <x v="9"/>
    <n v="1.9348000000000001"/>
    <n v="6.4222000000000001"/>
    <n v="32.4"/>
    <n v="5.9"/>
    <n v="3.9"/>
    <n v="7.33"/>
    <n v="100.1"/>
    <n v="8.23"/>
    <n v="-63.6"/>
    <n v="40"/>
    <n v="29.6"/>
    <n v="5.34"/>
    <n v="1.73"/>
    <n v="82.44"/>
    <m/>
    <n v="184.58"/>
    <n v="248.42"/>
    <n v="29.79"/>
    <n v="382202.13294807624"/>
    <n v="709998.33191742201"/>
  </r>
  <r>
    <d v="2024-02-08T00:00:00"/>
    <s v="02-08"/>
    <x v="1"/>
    <d v="1899-12-30T08:57:00"/>
    <n v="5"/>
    <x v="0"/>
    <n v="1.93618"/>
    <n v="6.3917999999999999"/>
    <n v="26.8"/>
    <n v="26.1"/>
    <n v="16"/>
    <n v="6.2"/>
    <n v="77.400000000000006"/>
    <n v="7.75"/>
    <n v="-36.4"/>
    <n v="75"/>
    <n v="12.84"/>
    <n v="3.2"/>
    <n v="2.58"/>
    <n v="0.24"/>
    <m/>
    <n v="128.4"/>
    <n v="179.48"/>
    <n v="18.97"/>
    <n v="382769.63003693346"/>
    <n v="706304.35337691102"/>
  </r>
  <r>
    <d v="2024-02-08T00:00:00"/>
    <s v="02-08"/>
    <x v="1"/>
    <d v="1899-12-30T09:44:00"/>
    <n v="5"/>
    <x v="1"/>
    <n v="1.9513"/>
    <n v="6.4095000000000004"/>
    <n v="25.8"/>
    <n v="3.33"/>
    <n v="1.7"/>
    <n v="7.66"/>
    <n v="92.9"/>
    <n v="8.35"/>
    <n v="-67.099999999999994"/>
    <n v="45"/>
    <n v="25.47"/>
    <n v="4.01"/>
    <n v="2.0099999999999998"/>
    <n v="1.34"/>
    <m/>
    <n v="203.73"/>
    <n v="266.3"/>
    <n v="27.62"/>
    <n v="384024.1570784403"/>
    <n v="708590.42751502525"/>
  </r>
  <r>
    <d v="2024-02-08T00:00:00"/>
    <s v="02-08"/>
    <x v="1"/>
    <d v="1899-12-30T10:08:00"/>
    <n v="5"/>
    <x v="2"/>
    <n v="1.9669000000000001"/>
    <n v="6.4546000000000001"/>
    <n v="26.4"/>
    <n v="3.34"/>
    <n v="1.9"/>
    <n v="7.97"/>
    <n v="98.2"/>
    <n v="8.39"/>
    <n v="-73"/>
    <n v="67"/>
    <n v="14.69"/>
    <n v="4.2699999999999996"/>
    <n v="3.42"/>
    <n v="4.63"/>
    <m/>
    <n v="215.23"/>
    <n v="245.87"/>
    <n v="21.66"/>
    <n v="385759.62074491731"/>
    <n v="713573.25678037247"/>
  </r>
  <r>
    <d v="2024-02-08T00:00:00"/>
    <s v="02-08"/>
    <x v="1"/>
    <d v="1899-12-30T10:33:00"/>
    <n v="5"/>
    <x v="3"/>
    <n v="1.9933000000000001"/>
    <n v="6.5007000000000001"/>
    <n v="26.5"/>
    <n v="3.69"/>
    <n v="1.9"/>
    <n v="7.8"/>
    <n v="96.5"/>
    <n v="8.4499999999999993"/>
    <n v="-72.599999999999994"/>
    <n v="85"/>
    <n v="10.8"/>
    <n v="4.2699999999999996"/>
    <n v="2.0099999999999998"/>
    <n v="4.63"/>
    <m/>
    <n v="201.18"/>
    <n v="225.44"/>
    <n v="28.21"/>
    <n v="388689.34009811806"/>
    <n v="718664.2720532401"/>
  </r>
  <r>
    <d v="2024-02-08T00:00:00"/>
    <s v="02-08"/>
    <x v="1"/>
    <d v="1899-12-30T10:50:00"/>
    <n v="5"/>
    <x v="4"/>
    <n v="1.984"/>
    <n v="6.5294999999999996"/>
    <n v="26.2"/>
    <n v="2.2200000000000002"/>
    <n v="1.1000000000000001"/>
    <n v="7.82"/>
    <n v="96.2"/>
    <n v="8.42"/>
    <n v="-70.900000000000006"/>
    <n v="75"/>
    <n v="12.6"/>
    <n v="4.2699999999999996"/>
    <n v="2.0099999999999998"/>
    <n v="6.82"/>
    <m/>
    <n v="216.5"/>
    <n v="253.53"/>
    <n v="25.73"/>
    <n v="387667.34262385243"/>
    <n v="721850.49534728227"/>
  </r>
  <r>
    <d v="2024-02-08T00:00:00"/>
    <s v="02-08"/>
    <x v="1"/>
    <d v="1899-12-30T11:06:00"/>
    <n v="5"/>
    <x v="5"/>
    <n v="1.9822"/>
    <n v="6.5602"/>
    <n v="25"/>
    <n v="1.39"/>
    <n v="0.7"/>
    <n v="7.94"/>
    <n v="98.2"/>
    <n v="8.2899999999999991"/>
    <n v="-66.3"/>
    <n v="50"/>
    <n v="22.15"/>
    <n v="6.41"/>
    <n v="2.29"/>
    <n v="2.44"/>
    <m/>
    <n v="225.44"/>
    <n v="270.13"/>
    <n v="27.5"/>
    <n v="387475.18079440482"/>
    <n v="725245.13735641493"/>
  </r>
  <r>
    <d v="2024-02-08T00:00:00"/>
    <s v="02-08"/>
    <x v="1"/>
    <d v="1899-12-30T11:27:00"/>
    <n v="5"/>
    <x v="6"/>
    <n v="1.9809000000000001"/>
    <n v="6.5894000000000004"/>
    <n v="25.8"/>
    <n v="0.73"/>
    <n v="0.3"/>
    <n v="7.85"/>
    <n v="96.5"/>
    <n v="8.2200000000000006"/>
    <n v="-60.3"/>
    <n v="42"/>
    <n v="28.78"/>
    <n v="6.41"/>
    <n v="2.58"/>
    <n v="7.92"/>
    <m/>
    <n v="215.23"/>
    <n v="262.47000000000003"/>
    <n v="22.48"/>
    <n v="387338.0175576139"/>
    <n v="728473.83219849819"/>
  </r>
  <r>
    <d v="2024-02-08T00:00:00"/>
    <s v="02-08"/>
    <x v="1"/>
    <d v="1899-12-30T12:49:00"/>
    <n v="5"/>
    <x v="7"/>
    <n v="1.9655"/>
    <n v="6.4878"/>
    <n v="27.2"/>
    <n v="4"/>
    <n v="2.1"/>
    <n v="8.17"/>
    <n v="103"/>
    <n v="8.3699999999999992"/>
    <n v="-70.7"/>
    <n v="81"/>
    <n v="11.54"/>
    <n v="4.2699999999999996"/>
    <n v="2.86"/>
    <n v="4.63"/>
    <m/>
    <n v="201.18"/>
    <n v="238.21"/>
    <n v="34.020000000000003"/>
    <n v="385612.26229542762"/>
    <n v="717244.22352549795"/>
  </r>
  <r>
    <d v="2024-02-08T00:00:00"/>
    <s v="02-08"/>
    <x v="1"/>
    <d v="1899-12-30T13:18:00"/>
    <n v="5"/>
    <x v="8"/>
    <n v="1.9373"/>
    <n v="6.4568000000000003"/>
    <n v="27.6"/>
    <n v="3.99"/>
    <n v="2.1"/>
    <n v="8.26"/>
    <n v="104.3"/>
    <n v="8.49"/>
    <n v="-73.5"/>
    <n v="65"/>
    <n v="15.9"/>
    <n v="4.2699999999999996"/>
    <n v="2.0099999999999998"/>
    <n v="2.44"/>
    <m/>
    <n v="207.57"/>
    <n v="236.93"/>
    <n v="21.84"/>
    <n v="382486.59163122613"/>
    <n v="713823.2259921059"/>
  </r>
  <r>
    <d v="2024-02-08T00:00:00"/>
    <s v="02-08"/>
    <x v="1"/>
    <d v="1899-12-30T13:36:00"/>
    <n v="5"/>
    <x v="9"/>
    <n v="1.9348000000000001"/>
    <n v="6.4222000000000001"/>
    <n v="28.7"/>
    <n v="4.63"/>
    <n v="1.8"/>
    <n v="7.67"/>
    <n v="98.8"/>
    <n v="8.2799999999999994"/>
    <n v="-62.2"/>
    <n v="32"/>
    <n v="42.19"/>
    <n v="4.01"/>
    <n v="3.71"/>
    <n v="9.01"/>
    <m/>
    <n v="194.8"/>
    <n v="242.04"/>
    <n v="29.61"/>
    <n v="382202.13294807624"/>
    <n v="709998.33191742201"/>
  </r>
  <r>
    <d v="2024-03-07T00:00:00"/>
    <s v="03-07"/>
    <x v="1"/>
    <d v="1899-12-30T10:33:00"/>
    <n v="6"/>
    <x v="0"/>
    <n v="1.93618"/>
    <n v="6.3917999999999999"/>
    <n v="30.1"/>
    <n v="34.299999999999997"/>
    <n v="31.7"/>
    <n v="7.48"/>
    <n v="98.3"/>
    <n v="8.16"/>
    <n v="-58.7"/>
    <n v="52"/>
    <n v="21.48"/>
    <n v="3.2"/>
    <n v="1.73"/>
    <n v="245.75"/>
    <m/>
    <n v="77.33"/>
    <n v="174.37"/>
    <n v="19.36"/>
    <n v="382769.63003693346"/>
    <n v="706304.35337691102"/>
  </r>
  <r>
    <d v="2024-03-07T00:00:00"/>
    <s v="03-07"/>
    <x v="1"/>
    <d v="1899-12-30T11:12:00"/>
    <n v="6"/>
    <x v="1"/>
    <n v="1.9513"/>
    <n v="6.4095000000000004"/>
    <n v="30.3"/>
    <n v="22.3"/>
    <n v="13.6"/>
    <n v="6.81"/>
    <n v="90.3"/>
    <n v="8.25"/>
    <n v="-63"/>
    <n v="40"/>
    <n v="48.16"/>
    <n v="6.41"/>
    <n v="0.88"/>
    <n v="127.38"/>
    <m/>
    <n v="129.68"/>
    <n v="199.9"/>
    <n v="27.87"/>
    <n v="384024.1570784403"/>
    <n v="708590.42751502525"/>
  </r>
  <r>
    <d v="2024-03-07T00:00:00"/>
    <s v="03-07"/>
    <x v="1"/>
    <d v="1899-12-30T11:35:00"/>
    <n v="6"/>
    <x v="2"/>
    <n v="1.9669000000000001"/>
    <n v="6.4546000000000001"/>
    <n v="30.2"/>
    <n v="9.49"/>
    <n v="5.4"/>
    <n v="7.5"/>
    <n v="99.1"/>
    <n v="8.48"/>
    <n v="-75.400000000000006"/>
    <n v="72"/>
    <n v="20.239999999999998"/>
    <n v="4.2699999999999996"/>
    <n v="0.6"/>
    <n v="105.46"/>
    <m/>
    <n v="159.05000000000001"/>
    <n v="208.84"/>
    <n v="24.56"/>
    <n v="385759.62074491731"/>
    <n v="713573.25678037247"/>
  </r>
  <r>
    <d v="2024-03-07T00:00:00"/>
    <s v="03-07"/>
    <x v="1"/>
    <d v="1899-12-30T12:08:00"/>
    <n v="6"/>
    <x v="3"/>
    <n v="1.9933000000000001"/>
    <n v="6.5007000000000001"/>
    <n v="30.5"/>
    <n v="5.37"/>
    <n v="2.9"/>
    <n v="7.35"/>
    <n v="97.7"/>
    <n v="8.5"/>
    <n v="-75.8"/>
    <n v="50"/>
    <n v="34.56"/>
    <n v="5.34"/>
    <n v="0.6"/>
    <n v="85.73"/>
    <m/>
    <n v="229.27"/>
    <n v="294.39"/>
    <n v="23.98"/>
    <n v="388689.34009811806"/>
    <n v="718664.2720532401"/>
  </r>
  <r>
    <d v="2024-03-07T00:00:00"/>
    <s v="03-07"/>
    <x v="1"/>
    <d v="1899-12-30T12:22:00"/>
    <n v="6"/>
    <x v="4"/>
    <n v="1.984"/>
    <n v="6.5294999999999996"/>
    <n v="30.5"/>
    <n v="4.91"/>
    <n v="2.7"/>
    <n v="7.38"/>
    <n v="98.3"/>
    <n v="8.49"/>
    <n v="-75.8"/>
    <n v="56"/>
    <n v="28.02"/>
    <n v="7.48"/>
    <n v="0.88"/>
    <n v="76.959999999999994"/>
    <m/>
    <n v="207.57"/>
    <n v="220.33"/>
    <n v="28.05"/>
    <n v="387667.34262385243"/>
    <n v="721850.49534728227"/>
  </r>
  <r>
    <d v="2024-03-07T00:00:00"/>
    <s v="03-07"/>
    <x v="1"/>
    <d v="1899-12-30T12:36:00"/>
    <n v="6"/>
    <x v="5"/>
    <n v="1.9822"/>
    <n v="6.5602"/>
    <n v="30.4"/>
    <n v="2.68"/>
    <n v="1.4"/>
    <n v="7.39"/>
    <n v="98.1"/>
    <n v="8.5"/>
    <n v="-74.400000000000006"/>
    <n v="46"/>
    <n v="28.34"/>
    <n v="6.41"/>
    <n v="1.73"/>
    <n v="93.4"/>
    <m/>
    <n v="244.59"/>
    <n v="333.97"/>
    <n v="25.51"/>
    <n v="387475.18079440482"/>
    <n v="725245.13735641493"/>
  </r>
  <r>
    <d v="2024-03-07T00:00:00"/>
    <s v="03-07"/>
    <x v="1"/>
    <d v="1899-12-30T12:50:00"/>
    <n v="6"/>
    <x v="6"/>
    <n v="1.9809000000000001"/>
    <n v="6.5894000000000004"/>
    <n v="30.4"/>
    <n v="2.89"/>
    <n v="1.5"/>
    <n v="7.3"/>
    <n v="96.7"/>
    <n v="8.43"/>
    <n v="-71.3"/>
    <n v="40"/>
    <n v="46.86"/>
    <n v="7.48"/>
    <n v="0.88"/>
    <n v="98.88"/>
    <m/>
    <n v="199.9"/>
    <n v="250.98"/>
    <n v="28.27"/>
    <n v="387338.0175576139"/>
    <n v="728473.83219849819"/>
  </r>
  <r>
    <d v="2024-03-07T00:00:00"/>
    <s v="03-07"/>
    <x v="1"/>
    <d v="1899-12-30T14:15:00"/>
    <n v="6"/>
    <x v="7"/>
    <n v="1.9655"/>
    <n v="6.4878"/>
    <n v="31.1"/>
    <n v="7.54"/>
    <n v="4.2"/>
    <n v="7.7"/>
    <n v="103.6"/>
    <n v="8.56"/>
    <n v="-79.5"/>
    <n v="31"/>
    <n v="42.1"/>
    <n v="6.41"/>
    <n v="0.6"/>
    <n v="86.83"/>
    <m/>
    <n v="230.55"/>
    <n v="295.66000000000003"/>
    <n v="25.21"/>
    <n v="385612.26229542762"/>
    <n v="717244.22352549795"/>
  </r>
  <r>
    <d v="2024-03-07T00:00:00"/>
    <s v="03-07"/>
    <x v="1"/>
    <d v="1899-12-30T14:43:00"/>
    <n v="6"/>
    <x v="8"/>
    <n v="1.9373"/>
    <n v="6.4568000000000003"/>
    <n v="31.3"/>
    <n v="10.5"/>
    <n v="6"/>
    <n v="7.66"/>
    <n v="103.7"/>
    <n v="8.4499999999999993"/>
    <n v="-73.8"/>
    <n v="27"/>
    <n v="69.819999999999993"/>
    <n v="5.34"/>
    <n v="0.88"/>
    <n v="95.6"/>
    <m/>
    <n v="183.31"/>
    <n v="248.42"/>
    <n v="24.81"/>
    <n v="382486.59163122613"/>
    <n v="713823.2259921059"/>
  </r>
  <r>
    <d v="2024-03-07T00:00:00"/>
    <s v="03-07"/>
    <x v="1"/>
    <d v="1899-12-30T15:00:00"/>
    <n v="6"/>
    <x v="9"/>
    <n v="1.9348000000000001"/>
    <n v="6.4222000000000001"/>
    <n v="32"/>
    <n v="24"/>
    <n v="14.7"/>
    <n v="7.84"/>
    <n v="107.8"/>
    <n v="8.33"/>
    <n v="-67.7"/>
    <n v="27"/>
    <n v="74.42"/>
    <n v="7.48"/>
    <n v="0.88"/>
    <n v="78.06"/>
    <m/>
    <n v="125.85"/>
    <n v="153.94"/>
    <n v="24.99"/>
    <n v="382202.13294807624"/>
    <n v="709998.33191742201"/>
  </r>
  <r>
    <d v="2024-04-09T00:00:00"/>
    <s v="04-09"/>
    <x v="2"/>
    <d v="1899-12-30T10:58:00"/>
    <n v="7"/>
    <x v="0"/>
    <n v="1.93618"/>
    <n v="6.3917999999999999"/>
    <n v="30.7"/>
    <n v="48.1"/>
    <n v="31.7"/>
    <n v="6.43"/>
    <n v="85.9"/>
    <n v="7.95"/>
    <n v="-47"/>
    <n v="70.569999999999993"/>
    <n v="26.94"/>
    <n v="7.12"/>
    <n v="1.73"/>
    <n v="51.76"/>
    <m/>
    <n v="34.51"/>
    <n v="153.94"/>
    <n v="9.51"/>
    <n v="382769.63003693346"/>
    <n v="706304.35337691102"/>
  </r>
  <r>
    <d v="2024-04-09T00:00:00"/>
    <s v="04-09"/>
    <x v="2"/>
    <d v="1899-12-30T11:07:00"/>
    <n v="7"/>
    <x v="1"/>
    <n v="1.9513"/>
    <n v="6.4095000000000004"/>
    <n v="29.4"/>
    <n v="28.4"/>
    <n v="17.600000000000001"/>
    <n v="7.98"/>
    <n v="103.9"/>
    <n v="8.52"/>
    <n v="-77"/>
    <n v="98"/>
    <n v="6.14"/>
    <n v="4.22"/>
    <n v="0.88"/>
    <n v="52.85"/>
    <m/>
    <n v="10.95"/>
    <n v="286.73"/>
    <n v="12.76"/>
    <n v="384024.1570784403"/>
    <n v="708590.42751502525"/>
  </r>
  <r>
    <d v="2024-04-09T00:00:00"/>
    <s v="04-09"/>
    <x v="2"/>
    <d v="1899-12-30T11:41:00"/>
    <n v="7"/>
    <x v="2"/>
    <n v="1.9669000000000001"/>
    <n v="6.4546000000000001"/>
    <n v="30.7"/>
    <n v="14.15"/>
    <n v="8.6"/>
    <n v="7.37"/>
    <n v="98.4"/>
    <n v="8.4"/>
    <n v="-78.8"/>
    <n v="136"/>
    <n v="6.09"/>
    <n v="1.34"/>
    <n v="1.1599999999999999"/>
    <n v="63.81"/>
    <m/>
    <n v="214.44"/>
    <n v="386.32"/>
    <n v="13.24"/>
    <n v="385759.62074491731"/>
    <n v="713573.25678037247"/>
  </r>
  <r>
    <d v="2024-04-09T00:00:00"/>
    <s v="04-09"/>
    <x v="2"/>
    <d v="1899-12-30T12:05:00"/>
    <n v="7"/>
    <x v="3"/>
    <n v="1.9933000000000001"/>
    <n v="6.5007000000000001"/>
    <n v="30.8"/>
    <n v="11.3"/>
    <n v="6.5"/>
    <n v="7.43"/>
    <n v="99.6"/>
    <n v="8.4600000000000009"/>
    <n v="-73.5"/>
    <n v="83"/>
    <n v="12.04"/>
    <n v="3.2"/>
    <n v="0.88"/>
    <n v="58.33"/>
    <m/>
    <m/>
    <n v="512.72"/>
    <n v="19.36"/>
    <n v="388689.34009811806"/>
    <n v="718664.2720532401"/>
  </r>
  <r>
    <d v="2024-04-09T00:00:00"/>
    <s v="04-09"/>
    <x v="2"/>
    <d v="1899-12-30T12:27:00"/>
    <n v="7"/>
    <x v="4"/>
    <n v="1.984"/>
    <n v="6.5294999999999996"/>
    <n v="31"/>
    <n v="10.050000000000001"/>
    <n v="5.7"/>
    <n v="7.53"/>
    <n v="101.3"/>
    <n v="8.5"/>
    <n v="-76.2"/>
    <n v="107"/>
    <n v="8.4600000000000009"/>
    <n v="4.2699999999999996"/>
    <n v="0.88"/>
    <n v="66"/>
    <m/>
    <n v="276.22000000000003"/>
    <n v="496.12"/>
    <n v="12.57"/>
    <n v="387667.34262385243"/>
    <n v="721850.49534728227"/>
  </r>
  <r>
    <d v="2024-04-09T00:00:00"/>
    <s v="04-09"/>
    <x v="2"/>
    <d v="1899-12-30T15:39:00"/>
    <n v="7"/>
    <x v="5"/>
    <n v="1.9822"/>
    <n v="6.5602"/>
    <n v="31.1"/>
    <n v="6.69"/>
    <n v="3.7"/>
    <n v="8.06"/>
    <n v="109"/>
    <n v="8.66"/>
    <n v="-85"/>
    <n v="88"/>
    <n v="9.34"/>
    <n v="3.2"/>
    <n v="1.1599999999999999"/>
    <n v="86.83"/>
    <m/>
    <n v="341.09"/>
    <n v="704.24"/>
    <n v="13.24"/>
    <n v="387475.18079440482"/>
    <n v="725245.13735641493"/>
  </r>
  <r>
    <d v="2024-04-09T00:00:00"/>
    <s v="04-09"/>
    <x v="2"/>
    <d v="1899-12-30T15:53:00"/>
    <n v="7"/>
    <x v="6"/>
    <n v="1.9809000000000001"/>
    <n v="6.5894000000000004"/>
    <n v="31.3"/>
    <n v="5.5"/>
    <n v="3.2"/>
    <n v="7.81"/>
    <n v="105.7"/>
    <n v="8.65"/>
    <n v="-84.3"/>
    <n v="46"/>
    <n v="24.6"/>
    <n v="6.41"/>
    <n v="1.1599999999999999"/>
    <n v="89.02"/>
    <m/>
    <n v="311.75"/>
    <n v="623.79999999999995"/>
    <n v="16.43"/>
    <n v="387338.0175576139"/>
    <n v="728473.83219849819"/>
  </r>
  <r>
    <d v="2024-04-09T00:00:00"/>
    <s v="04-09"/>
    <x v="2"/>
    <d v="1899-12-30T17:04:00"/>
    <n v="7"/>
    <x v="7"/>
    <n v="1.9655"/>
    <n v="6.4878"/>
    <n v="31.5"/>
    <n v="13.42"/>
    <n v="7.8"/>
    <n v="7.93"/>
    <n v="107.7"/>
    <n v="8.5"/>
    <n v="-75.2"/>
    <n v="77"/>
    <n v="16.8"/>
    <n v="2.14"/>
    <n v="0.88"/>
    <n v="72.58"/>
    <m/>
    <n v="254.6"/>
    <n v="524.21"/>
    <n v="9.5399999999999991"/>
    <n v="385612.26229542762"/>
    <n v="717244.22352549795"/>
  </r>
  <r>
    <d v="2024-04-09T00:00:00"/>
    <s v="04-09"/>
    <x v="2"/>
    <d v="1899-12-30T17:20:00"/>
    <n v="7"/>
    <x v="8"/>
    <n v="1.9373"/>
    <n v="6.4568000000000003"/>
    <n v="32.5"/>
    <n v="18.25"/>
    <n v="11.4"/>
    <n v="7.82"/>
    <n v="108.1"/>
    <n v="8.36"/>
    <n v="-69.5"/>
    <n v="65"/>
    <n v="36.9"/>
    <n v="0"/>
    <n v="0.88"/>
    <n v="69.290000000000006"/>
    <m/>
    <n v="219.85"/>
    <n v="461.65"/>
    <n v="13.24"/>
    <n v="382486.59163122613"/>
    <n v="713823.2259921059"/>
  </r>
  <r>
    <d v="2024-04-09T00:00:00"/>
    <s v="04-09"/>
    <x v="2"/>
    <d v="1899-12-30T17:41:00"/>
    <n v="7"/>
    <x v="9"/>
    <n v="1.9348000000000001"/>
    <n v="6.4222000000000001"/>
    <n v="33"/>
    <n v="24.8"/>
    <n v="15.2"/>
    <n v="8.0399999999999991"/>
    <n v="112.1"/>
    <n v="8.4"/>
    <n v="-71.5"/>
    <n v="45"/>
    <n v="30.28"/>
    <n v="8.5399999999999991"/>
    <n v="1.44"/>
    <n v="90.12"/>
    <m/>
    <n v="172.74"/>
    <n v="393.98"/>
    <n v="25.18"/>
    <n v="382202.13294807624"/>
    <n v="709998.33191742201"/>
  </r>
  <r>
    <d v="2024-05-08T00:00:00"/>
    <s v="05-08"/>
    <x v="2"/>
    <d v="1899-12-30T10:23:00"/>
    <n v="8"/>
    <x v="0"/>
    <n v="1.93618"/>
    <n v="6.3917999999999999"/>
    <n v="30.6"/>
    <n v="19.079999999999998"/>
    <n v="11.4"/>
    <n v="4.9000000000000004"/>
    <n v="65.8"/>
    <n v="7.24"/>
    <n v="-12.4"/>
    <n v="46"/>
    <n v="24.72"/>
    <n v="2.14"/>
    <n v="6.25"/>
    <n v="87.92"/>
    <m/>
    <n v="45.41"/>
    <n v="161.6"/>
    <n v="19.670000000000002"/>
    <n v="382769.63003693346"/>
    <n v="706304.35337691102"/>
  </r>
  <r>
    <d v="2024-05-08T00:00:00"/>
    <s v="05-08"/>
    <x v="2"/>
    <d v="1899-12-30T10:35:00"/>
    <n v="8"/>
    <x v="1"/>
    <n v="1.9513"/>
    <n v="6.4095000000000004"/>
    <n v="30.6"/>
    <n v="17.91"/>
    <n v="10.7"/>
    <n v="6.94"/>
    <n v="92.7"/>
    <n v="7.99"/>
    <n v="-49.6"/>
    <n v="75"/>
    <n v="13.96"/>
    <n v="5.34"/>
    <n v="7.38"/>
    <n v="165.74"/>
    <m/>
    <n v="99.04"/>
    <n v="193.52"/>
    <n v="13.8"/>
    <n v="384024.1570784403"/>
    <n v="708590.42751502525"/>
  </r>
  <r>
    <d v="2024-05-08T00:00:00"/>
    <s v="05-08"/>
    <x v="2"/>
    <d v="1899-12-30T10:59:00"/>
    <n v="8"/>
    <x v="2"/>
    <n v="1.9669000000000001"/>
    <n v="6.4546000000000001"/>
    <n v="31"/>
    <n v="14.85"/>
    <n v="8.6999999999999993"/>
    <n v="7.41"/>
    <n v="95.2"/>
    <n v="8.14"/>
    <n v="-57.6"/>
    <n v="125"/>
    <n v="8.8699999999999992"/>
    <n v="2.14"/>
    <n v="5.12"/>
    <n v="80.25"/>
    <m/>
    <n v="132.22999999999999"/>
    <n v="164.15"/>
    <n v="24.04"/>
    <n v="385759.62074491731"/>
    <n v="713573.25678037247"/>
  </r>
  <r>
    <d v="2024-05-08T00:00:00"/>
    <s v="05-08"/>
    <x v="2"/>
    <d v="1899-12-30T11:19:00"/>
    <n v="8"/>
    <x v="3"/>
    <n v="1.9933000000000001"/>
    <n v="6.5007000000000001"/>
    <n v="31"/>
    <n v="11.56"/>
    <n v="6.7"/>
    <n v="7.36"/>
    <n v="98.9"/>
    <n v="8.26"/>
    <n v="-63.1"/>
    <n v="116"/>
    <n v="6.03"/>
    <n v="1.07"/>
    <n v="5.69"/>
    <n v="35.32"/>
    <m/>
    <n v="146.28"/>
    <n v="199.9"/>
    <n v="1.96"/>
    <n v="388689.34009811806"/>
    <n v="718664.2720532401"/>
  </r>
  <r>
    <d v="2024-05-08T00:00:00"/>
    <s v="05-08"/>
    <x v="2"/>
    <d v="1899-12-30T11:32:00"/>
    <n v="8"/>
    <x v="4"/>
    <n v="1.984"/>
    <n v="6.5294999999999996"/>
    <n v="31"/>
    <n v="9.18"/>
    <n v="5.2"/>
    <n v="7.47"/>
    <n v="100.4"/>
    <n v="8.31"/>
    <n v="-65.599999999999994"/>
    <n v="114"/>
    <n v="6.35"/>
    <n v="3.2"/>
    <n v="5.4"/>
    <n v="61.62"/>
    <m/>
    <n v="161.6"/>
    <n v="190.97"/>
    <n v="15.63"/>
    <n v="387667.34262385243"/>
    <n v="721850.49534728227"/>
  </r>
  <r>
    <d v="2024-05-08T00:00:00"/>
    <s v="05-08"/>
    <x v="2"/>
    <d v="1899-12-30T11:45:00"/>
    <n v="8"/>
    <x v="5"/>
    <n v="1.9822"/>
    <n v="6.5602"/>
    <n v="31.2"/>
    <n v="7.2"/>
    <n v="4"/>
    <n v="7.3"/>
    <n v="98.4"/>
    <n v="8.31"/>
    <n v="-66.3"/>
    <n v="90"/>
    <n v="7.95"/>
    <n v="3.2"/>
    <n v="7.38"/>
    <n v="73.680000000000007"/>
    <m/>
    <n v="166.71"/>
    <n v="182.03"/>
    <n v="17.829999999999998"/>
    <n v="387475.18079440482"/>
    <n v="725245.13735641493"/>
  </r>
  <r>
    <d v="2024-05-08T00:00:00"/>
    <s v="05-08"/>
    <x v="2"/>
    <d v="1899-12-30T11:58:00"/>
    <n v="8"/>
    <x v="6"/>
    <n v="1.9809000000000001"/>
    <n v="6.5894000000000004"/>
    <n v="31"/>
    <n v="4.49"/>
    <n v="2.4"/>
    <n v="6.5"/>
    <n v="87.3"/>
    <n v="7.98"/>
    <n v="-48.3"/>
    <n v="60"/>
    <n v="15.04"/>
    <n v="2.14"/>
    <n v="7.95"/>
    <n v="147.11000000000001"/>
    <m/>
    <n v="166.71"/>
    <n v="193.52"/>
    <n v="14.04"/>
    <n v="387338.0175576139"/>
    <n v="728473.83219849819"/>
  </r>
  <r>
    <d v="2024-05-08T00:00:00"/>
    <s v="05-08"/>
    <x v="2"/>
    <d v="1899-12-30T13:02:00"/>
    <n v="8"/>
    <x v="7"/>
    <n v="1.9655"/>
    <n v="6.4878"/>
    <n v="31.5"/>
    <n v="13.17"/>
    <n v="7.7"/>
    <n v="7.36"/>
    <n v="99.9"/>
    <n v="8.15"/>
    <n v="-57.9"/>
    <n v="133"/>
    <n v="4.8"/>
    <n v="0"/>
    <n v="3.71"/>
    <n v="87.92"/>
    <m/>
    <n v="142.44999999999999"/>
    <n v="153.94"/>
    <n v="13.52"/>
    <n v="385612.26229542762"/>
    <n v="717244.22352549795"/>
  </r>
  <r>
    <d v="2024-05-08T00:00:00"/>
    <s v="05-08"/>
    <x v="2"/>
    <d v="1899-12-30T13:20:00"/>
    <n v="8"/>
    <x v="8"/>
    <n v="1.9373"/>
    <n v="6.4568000000000003"/>
    <n v="31.5"/>
    <n v="17.12"/>
    <n v="9.5"/>
    <n v="7.66"/>
    <n v="104.2"/>
    <n v="8.1300000000000008"/>
    <n v="-56.2"/>
    <n v="82"/>
    <n v="10.4"/>
    <n v="8.5399999999999991"/>
    <n v="6.25"/>
    <n v="51.76"/>
    <m/>
    <n v="119.47"/>
    <n v="151.38999999999999"/>
    <n v="17.309999999999999"/>
    <n v="382486.59163122613"/>
    <n v="713823.2259921059"/>
  </r>
  <r>
    <d v="2024-05-08T00:00:00"/>
    <s v="05-08"/>
    <x v="2"/>
    <d v="1899-12-30T13:33:00"/>
    <n v="8"/>
    <x v="9"/>
    <n v="1.9348000000000001"/>
    <n v="6.4222000000000001"/>
    <n v="32.5"/>
    <n v="18.36"/>
    <n v="11"/>
    <n v="7.16"/>
    <n v="99.8"/>
    <n v="8.01"/>
    <n v="-50.1"/>
    <n v="29"/>
    <n v="56.4"/>
    <n v="6.41"/>
    <n v="5.4"/>
    <n v="99.98"/>
    <m/>
    <n v="88.82"/>
    <n v="123.3"/>
    <n v="18.32"/>
    <n v="382202.13294807624"/>
    <n v="709998.33191742201"/>
  </r>
  <r>
    <d v="2024-06-06T00:00:00"/>
    <s v="06-06"/>
    <x v="2"/>
    <d v="1899-12-30T09:20:00"/>
    <n v="9"/>
    <x v="0"/>
    <n v="1.93618"/>
    <n v="6.3917999999999999"/>
    <n v="30"/>
    <n v="14.5"/>
    <n v="8.5"/>
    <n v="6.18"/>
    <n v="80.8"/>
    <n v="8.01"/>
    <m/>
    <n v="20"/>
    <n v="27.34"/>
    <n v="3.2"/>
    <n v="1.73"/>
    <n v="51.18"/>
    <m/>
    <n v="35.28"/>
    <n v="63.85"/>
    <n v="37.630000000000003"/>
    <n v="382769.63003693346"/>
    <n v="706304.35337691102"/>
  </r>
  <r>
    <d v="2024-06-06T00:00:00"/>
    <s v="06-06"/>
    <x v="2"/>
    <d v="1899-12-30T09:43:00"/>
    <n v="9"/>
    <x v="1"/>
    <n v="1.9513"/>
    <n v="6.4095000000000004"/>
    <n v="29.9"/>
    <n v="14.09"/>
    <n v="8.1999999999999993"/>
    <n v="7.15"/>
    <n v="93.8"/>
    <n v="8.32"/>
    <m/>
    <n v="90"/>
    <n v="11.16"/>
    <n v="1.07"/>
    <n v="1.44"/>
    <n v="51.46"/>
    <m/>
    <n v="49.95"/>
    <n v="72.349999999999994"/>
    <n v="28.13"/>
    <n v="384024.1570784403"/>
    <n v="708590.42751502525"/>
  </r>
  <r>
    <d v="2024-06-06T00:00:00"/>
    <s v="06-06"/>
    <x v="2"/>
    <d v="1899-12-30T10:05:00"/>
    <n v="9"/>
    <x v="2"/>
    <n v="1.9669000000000001"/>
    <n v="6.4546000000000001"/>
    <n v="29.9"/>
    <n v="13.08"/>
    <n v="7.6"/>
    <n v="7.01"/>
    <n v="92.1"/>
    <n v="7.96"/>
    <m/>
    <n v="116"/>
    <n v="7.54"/>
    <n v="2.14"/>
    <n v="2.0099999999999998"/>
    <n v="64.989999999999995"/>
    <m/>
    <n v="66.17"/>
    <n v="82.39"/>
    <n v="34.15"/>
    <n v="385759.62074491731"/>
    <n v="713573.25678037247"/>
  </r>
  <r>
    <d v="2024-06-06T00:00:00"/>
    <s v="06-06"/>
    <x v="2"/>
    <d v="1899-12-30T10:31:00"/>
    <n v="9"/>
    <x v="3"/>
    <n v="1.9933000000000001"/>
    <n v="6.5007000000000001"/>
    <n v="29.9"/>
    <n v="9.82"/>
    <n v="5.6"/>
    <n v="7.18"/>
    <n v="94.4"/>
    <n v="7.85"/>
    <m/>
    <n v="114"/>
    <n v="9.7100000000000009"/>
    <n v="2.14"/>
    <n v="2.0099999999999998"/>
    <n v="48.36"/>
    <m/>
    <n v="74.66"/>
    <n v="160.38999999999999"/>
    <n v="34.47"/>
    <n v="388689.34009811806"/>
    <n v="718664.2720532401"/>
  </r>
  <r>
    <d v="2024-06-06T00:00:00"/>
    <s v="06-06"/>
    <x v="2"/>
    <d v="1899-12-30T10:44:00"/>
    <n v="9"/>
    <x v="4"/>
    <n v="1.984"/>
    <n v="6.5294999999999996"/>
    <n v="29.9"/>
    <n v="6.34"/>
    <n v="3.5"/>
    <n v="7.28"/>
    <n v="95.5"/>
    <m/>
    <m/>
    <n v="117"/>
    <n v="7.13"/>
    <n v="3.2"/>
    <n v="2.29"/>
    <n v="74.3"/>
    <m/>
    <n v="84.7"/>
    <n v="169.65"/>
    <n v="36.06"/>
    <n v="387667.34262385243"/>
    <n v="721850.49534728227"/>
  </r>
  <r>
    <d v="2024-06-06T00:00:00"/>
    <s v="06-06"/>
    <x v="2"/>
    <d v="1899-12-30T11:04:00"/>
    <n v="9"/>
    <x v="5"/>
    <n v="1.9822"/>
    <n v="6.5602"/>
    <n v="30.3"/>
    <n v="3.6"/>
    <n v="1.9"/>
    <n v="6.76"/>
    <n v="89.6"/>
    <m/>
    <m/>
    <n v="78"/>
    <n v="15.14"/>
    <n v="6.41"/>
    <n v="3.14"/>
    <n v="65.56"/>
    <m/>
    <n v="86.25"/>
    <n v="97.06"/>
    <n v="21.78"/>
    <n v="387475.18079440482"/>
    <n v="725245.13735641493"/>
  </r>
  <r>
    <d v="2024-06-06T00:00:00"/>
    <s v="06-06"/>
    <x v="2"/>
    <d v="1899-12-30T12:30:00"/>
    <n v="9"/>
    <x v="6"/>
    <n v="1.9809000000000001"/>
    <n v="6.5894000000000004"/>
    <n v="33"/>
    <n v="10.74"/>
    <n v="0.5"/>
    <n v="3.34"/>
    <n v="71.599999999999994"/>
    <m/>
    <m/>
    <n v="72"/>
    <n v="17"/>
    <n v="3.2"/>
    <n v="6.53"/>
    <n v="65.84"/>
    <m/>
    <n v="128.72"/>
    <n v="313.29000000000002"/>
    <n v="23.26"/>
    <n v="387338.0175576139"/>
    <n v="728473.83219849819"/>
  </r>
  <r>
    <d v="2024-06-06T00:00:00"/>
    <s v="06-06"/>
    <x v="2"/>
    <d v="1899-12-30T13:02:00"/>
    <n v="9"/>
    <x v="7"/>
    <n v="1.9655"/>
    <n v="6.4878"/>
    <n v="30.7"/>
    <n v="12.1"/>
    <n v="6.9"/>
    <n v="7.51"/>
    <n v="100.3"/>
    <m/>
    <m/>
    <n v="96"/>
    <n v="9.5500000000000007"/>
    <n v="1.07"/>
    <n v="1.73"/>
    <n v="51.74"/>
    <m/>
    <n v="129.49"/>
    <n v="151.12"/>
    <n v="37.909999999999997"/>
    <n v="385612.26229542762"/>
    <n v="717244.22352549795"/>
  </r>
  <r>
    <d v="2024-06-06T00:00:00"/>
    <s v="06-06"/>
    <x v="2"/>
    <d v="1899-12-30T13:49:00"/>
    <n v="9"/>
    <x v="8"/>
    <n v="1.9373"/>
    <n v="6.4568000000000003"/>
    <n v="30.4"/>
    <n v="13.26"/>
    <n v="7.7"/>
    <n v="7.82"/>
    <n v="104.1"/>
    <m/>
    <m/>
    <n v="64"/>
    <n v="18.14"/>
    <n v="4.2699999999999996"/>
    <n v="2.29"/>
    <n v="63.3"/>
    <m/>
    <n v="61.54"/>
    <n v="137.22"/>
    <n v="32.72"/>
    <n v="382486.59163122613"/>
    <n v="713823.2259921059"/>
  </r>
  <r>
    <d v="2024-06-06T00:00:00"/>
    <s v="06-06"/>
    <x v="2"/>
    <d v="1899-12-30T14:00:00"/>
    <n v="9"/>
    <x v="9"/>
    <n v="1.9348000000000001"/>
    <n v="6.4222000000000001"/>
    <n v="31.7"/>
    <n v="13.7"/>
    <n v="8"/>
    <n v="7.48"/>
    <n v="101.2"/>
    <m/>
    <m/>
    <n v="47"/>
    <n v="39.659999999999997"/>
    <n v="3.2"/>
    <n v="4.84"/>
    <n v="82.19"/>
    <m/>
    <n v="36.82"/>
    <n v="66.17"/>
    <n v="28.13"/>
    <n v="382202.13294807624"/>
    <n v="709998.33191742201"/>
  </r>
  <r>
    <d v="2024-07-09T00:00:00"/>
    <s v="07-09"/>
    <x v="1"/>
    <d v="1899-12-30T10:20:00"/>
    <n v="10"/>
    <x v="0"/>
    <n v="1.93618"/>
    <n v="6.3917999999999999"/>
    <n v="27.4"/>
    <n v="6.86"/>
    <n v="3.8"/>
    <n v="7.23"/>
    <n v="91.1"/>
    <n v="8"/>
    <m/>
    <n v="52"/>
    <n v="24.42"/>
    <n v="6.41"/>
    <n v="2.29"/>
    <n v="80.25"/>
    <n v="0.19"/>
    <n v="100.31"/>
    <n v="148.83000000000001"/>
    <n v="8.75"/>
    <n v="382769.63003693346"/>
    <n v="706304.35337691102"/>
  </r>
  <r>
    <d v="2024-07-09T00:00:00"/>
    <s v="07-09"/>
    <x v="1"/>
    <d v="1899-12-30T10:52:00"/>
    <n v="10"/>
    <x v="1"/>
    <n v="1.9513"/>
    <n v="6.4095000000000004"/>
    <n v="27.4"/>
    <n v="6.66"/>
    <n v="3.7"/>
    <n v="7.74"/>
    <n v="97.5"/>
    <n v="8.1199999999999992"/>
    <m/>
    <n v="67"/>
    <n v="17.62"/>
    <n v="6.41"/>
    <n v="1.44"/>
    <n v="75.87"/>
    <n v="0.15"/>
    <n v="127.13"/>
    <n v="153.94"/>
    <n v="7.19"/>
    <n v="384024.1570784403"/>
    <n v="708590.42751502525"/>
  </r>
  <r>
    <d v="2024-07-09T00:00:00"/>
    <s v="07-09"/>
    <x v="1"/>
    <d v="1899-12-30T11:11:00"/>
    <n v="10"/>
    <x v="2"/>
    <n v="1.9669000000000001"/>
    <n v="6.4546000000000001"/>
    <n v="27.5"/>
    <n v="6.33"/>
    <n v="3.5"/>
    <n v="7.77"/>
    <n v="97.2"/>
    <n v="8.08"/>
    <m/>
    <n v="66"/>
    <n v="18.96"/>
    <n v="3.2"/>
    <n v="2.0099999999999998"/>
    <n v="74.77"/>
    <n v="0.15"/>
    <n v="136.06"/>
    <n v="148.83000000000001"/>
    <n v="10.46"/>
    <n v="385759.62074491731"/>
    <n v="713573.25678037247"/>
  </r>
  <r>
    <d v="2024-07-09T00:00:00"/>
    <s v="07-09"/>
    <x v="1"/>
    <d v="1899-12-30T11:30:00"/>
    <n v="10"/>
    <x v="3"/>
    <n v="1.9933000000000001"/>
    <n v="6.5007000000000001"/>
    <n v="27.4"/>
    <n v="3.98"/>
    <n v="2.1"/>
    <n v="7.54"/>
    <n v="95.1"/>
    <n v="7.92"/>
    <m/>
    <n v="36"/>
    <n v="39.58"/>
    <n v="3.2"/>
    <n v="2.58"/>
    <n v="79.16"/>
    <n v="0.22"/>
    <n v="157.77000000000001"/>
    <n v="222.89"/>
    <n v="6.79"/>
    <n v="388689.34009811806"/>
    <n v="718664.2720532401"/>
  </r>
  <r>
    <d v="2024-07-09T00:00:00"/>
    <s v="07-09"/>
    <x v="1"/>
    <d v="1899-12-30T11:48:00"/>
    <n v="10"/>
    <x v="4"/>
    <n v="1.984"/>
    <n v="6.5294999999999996"/>
    <n v="27.8"/>
    <n v="0.14000000000000001"/>
    <n v="0.7"/>
    <n v="7.09"/>
    <n v="89.9"/>
    <n v="7.76"/>
    <m/>
    <n v="40"/>
    <n v="50.9"/>
    <n v="1.07"/>
    <n v="6.82"/>
    <n v="75.87"/>
    <n v="0.21"/>
    <n v="194.8"/>
    <n v="247.15"/>
    <n v="19.329999999999998"/>
    <n v="387667.34262385243"/>
    <n v="721850.49534728227"/>
  </r>
  <r>
    <d v="2024-07-09T00:00:00"/>
    <s v="07-09"/>
    <x v="1"/>
    <d v="1899-12-30T12:03:00"/>
    <n v="10"/>
    <x v="5"/>
    <n v="1.9822"/>
    <n v="6.5602"/>
    <n v="27.9"/>
    <n v="0.86"/>
    <n v="0.4"/>
    <n v="6.8"/>
    <n v="86.5"/>
    <n v="7.66"/>
    <m/>
    <n v="36"/>
    <n v="59.22"/>
    <n v="1.07"/>
    <n v="11.91"/>
    <n v="93.4"/>
    <n v="0.23"/>
    <n v="143.72999999999999"/>
    <n v="268.85000000000002"/>
    <n v="3.82"/>
    <n v="387475.18079440482"/>
    <n v="725245.13735641493"/>
  </r>
  <r>
    <d v="2024-07-09T00:00:00"/>
    <s v="07-09"/>
    <x v="1"/>
    <d v="1899-12-30T12:18:00"/>
    <n v="10"/>
    <x v="6"/>
    <n v="1.9809000000000001"/>
    <n v="6.5894000000000004"/>
    <n v="28"/>
    <n v="0.22"/>
    <n v="0"/>
    <n v="2.08"/>
    <n v="26.5"/>
    <n v="6.88"/>
    <m/>
    <n v="63"/>
    <n v="17.46"/>
    <n v="2.2799999999999998"/>
    <n v="5.97"/>
    <n v="46.28"/>
    <n v="0.16"/>
    <n v="84.99"/>
    <n v="197.35"/>
    <n v="3.94"/>
    <n v="387338.0175576139"/>
    <n v="728473.83219849819"/>
  </r>
  <r>
    <d v="2024-07-09T00:00:00"/>
    <s v="07-09"/>
    <x v="1"/>
    <d v="1899-12-30T13:15:00"/>
    <n v="10"/>
    <x v="7"/>
    <n v="1.9655"/>
    <n v="6.4878"/>
    <n v="28.1"/>
    <n v="1.94"/>
    <n v="1"/>
    <n v="7.07"/>
    <n v="89.8"/>
    <n v="7.75"/>
    <m/>
    <n v="45"/>
    <n v="53.2"/>
    <n v="1.07"/>
    <n v="5.97"/>
    <n v="70.39"/>
    <n v="0.21"/>
    <n v="176.92"/>
    <n v="231.82"/>
    <n v="13.52"/>
    <n v="385612.26229542762"/>
    <n v="717244.22352549795"/>
  </r>
  <r>
    <d v="2024-07-09T00:00:00"/>
    <s v="07-09"/>
    <x v="1"/>
    <d v="1899-12-30T13:30:00"/>
    <n v="10"/>
    <x v="8"/>
    <n v="1.9373"/>
    <n v="6.4568000000000003"/>
    <n v="27.9"/>
    <n v="4.05"/>
    <n v="2.2000000000000002"/>
    <n v="8.08"/>
    <n v="102.3"/>
    <n v="8.15"/>
    <m/>
    <n v="50"/>
    <n v="33.14"/>
    <n v="7.48"/>
    <n v="2.58"/>
    <n v="36.409999999999997"/>
    <n v="0.22"/>
    <n v="146.28"/>
    <n v="174.37"/>
    <n v="1.5"/>
    <n v="382486.59163122613"/>
    <n v="713823.2259921059"/>
  </r>
  <r>
    <d v="2024-07-09T00:00:00"/>
    <s v="07-09"/>
    <x v="1"/>
    <d v="1899-12-30T13:46:00"/>
    <n v="10"/>
    <x v="9"/>
    <n v="1.9348000000000001"/>
    <n v="6.4222000000000001"/>
    <n v="28.3"/>
    <n v="7.03"/>
    <n v="3.9"/>
    <n v="7.28"/>
    <n v="94"/>
    <n v="7.8"/>
    <m/>
    <n v="46"/>
    <n v="54.12"/>
    <n v="4.2699999999999996"/>
    <n v="3.14"/>
    <n v="45.18"/>
    <n v="0.2"/>
    <n v="83.72"/>
    <m/>
    <m/>
    <n v="382202.13294807624"/>
    <n v="709998.33191742201"/>
  </r>
  <r>
    <d v="2024-08-06T00:00:00"/>
    <s v="08-06"/>
    <x v="3"/>
    <d v="1899-12-30T10:18:00"/>
    <n v="11"/>
    <x v="0"/>
    <n v="1.93618"/>
    <n v="6.3917999999999999"/>
    <n v="27.1"/>
    <n v="2.87"/>
    <n v="1.5"/>
    <n v="6.9"/>
    <n v="85.4"/>
    <n v="7.93"/>
    <m/>
    <n v="30"/>
    <n v="89.38"/>
    <n v="17.09"/>
    <n v="9.7899999999999991"/>
    <n v="52.02"/>
    <m/>
    <n v="158.07"/>
    <n v="285.49"/>
    <n v="0.24"/>
    <n v="382769.63003693346"/>
    <n v="706304.35337691102"/>
  </r>
  <r>
    <d v="2024-08-06T00:00:00"/>
    <s v="08-06"/>
    <x v="3"/>
    <d v="1899-12-30T11:06:00"/>
    <n v="11"/>
    <x v="1"/>
    <n v="1.9513"/>
    <n v="6.4095000000000004"/>
    <n v="26.8"/>
    <n v="2.33"/>
    <n v="1.2"/>
    <n v="8.02"/>
    <n v="99.08"/>
    <n v="8.56"/>
    <m/>
    <n v="33"/>
    <n v="144.63999999999999"/>
    <n v="20.9"/>
    <n v="5.16"/>
    <n v="20.440000000000001"/>
    <m/>
    <n v="181.24"/>
    <n v="372.76"/>
    <n v="0.24"/>
    <n v="384024.1570784403"/>
    <n v="708590.42751502525"/>
  </r>
  <r>
    <d v="2024-08-06T00:00:00"/>
    <s v="08-06"/>
    <x v="3"/>
    <d v="1899-12-30T11:30:00"/>
    <n v="11"/>
    <x v="2"/>
    <n v="1.9669000000000001"/>
    <n v="6.4546000000000001"/>
    <n v="27"/>
    <n v="3.14"/>
    <n v="1.6"/>
    <n v="7.8"/>
    <n v="97.3"/>
    <n v="8.3000000000000007"/>
    <m/>
    <n v="40"/>
    <n v="89.5"/>
    <n v="10.68"/>
    <n v="7.48"/>
    <n v="33.130000000000003"/>
    <m/>
    <n v="197.45"/>
    <n v="352.68"/>
    <n v="6.15"/>
    <n v="385759.62074491731"/>
    <n v="713573.25678037247"/>
  </r>
  <r>
    <d v="2024-08-06T00:00:00"/>
    <s v="08-06"/>
    <x v="3"/>
    <d v="1899-12-30T11:55:00"/>
    <n v="11"/>
    <x v="3"/>
    <n v="1.9933000000000001"/>
    <n v="6.5007000000000001"/>
    <n v="27.1"/>
    <n v="3.13"/>
    <n v="1.6"/>
    <n v="7.99"/>
    <n v="99.6"/>
    <n v="8.2200000000000006"/>
    <m/>
    <n v="31"/>
    <n v="70.819999999999993"/>
    <n v="14.24"/>
    <n v="19.059999999999999"/>
    <n v="17.059999999999999"/>
    <m/>
    <n v="205.18"/>
    <n v="311.75"/>
    <n v="8.5299999999999994"/>
    <n v="388689.34009811806"/>
    <n v="718664.2720532401"/>
  </r>
  <r>
    <d v="2024-08-06T00:00:00"/>
    <s v="08-06"/>
    <x v="3"/>
    <d v="1899-12-30T12:24:00"/>
    <n v="11"/>
    <x v="4"/>
    <n v="1.984"/>
    <n v="6.5294999999999996"/>
    <n v="26.9"/>
    <n v="2.78"/>
    <n v="1.4"/>
    <n v="7.7"/>
    <n v="95.7"/>
    <n v="8.1300000000000008"/>
    <m/>
    <n v="51"/>
    <n v="46.56"/>
    <n v="6.68"/>
    <n v="4.3899999999999997"/>
    <n v="27.21"/>
    <m/>
    <n v="178.92"/>
    <n v="263.10000000000002"/>
    <n v="7.33"/>
    <n v="387667.34262385243"/>
    <n v="721850.49534728227"/>
  </r>
  <r>
    <d v="2024-08-06T00:00:00"/>
    <s v="08-06"/>
    <x v="3"/>
    <d v="1899-12-30T12:46:00"/>
    <n v="11"/>
    <x v="5"/>
    <n v="1.9822"/>
    <n v="6.5602"/>
    <n v="26.7"/>
    <n v="2.6"/>
    <n v="1.3"/>
    <n v="7.97"/>
    <n v="99.1"/>
    <n v="8.15"/>
    <m/>
    <n v="63"/>
    <n v="32.729999999999997"/>
    <n v="11.75"/>
    <n v="9.02"/>
    <n v="30.88"/>
    <m/>
    <n v="189.73"/>
    <n v="233.75"/>
    <n v="0.37"/>
    <n v="387475.18079440482"/>
    <n v="725245.13735641493"/>
  </r>
  <r>
    <d v="2024-08-06T00:00:00"/>
    <s v="08-06"/>
    <x v="3"/>
    <d v="1899-12-30T13:00:00"/>
    <n v="11"/>
    <x v="6"/>
    <n v="1.9809000000000001"/>
    <n v="6.5894000000000004"/>
    <n v="27"/>
    <n v="2.61"/>
    <n v="1.3"/>
    <n v="8.24"/>
    <n v="102.9"/>
    <n v="8.25"/>
    <m/>
    <n v="59"/>
    <n v="26.52"/>
    <n v="4.2699999999999996"/>
    <n v="9.7899999999999991"/>
    <n v="31.16"/>
    <m/>
    <n v="195.14"/>
    <n v="233.75"/>
    <n v="0.25"/>
    <n v="387338.0175576139"/>
    <n v="728473.83219849819"/>
  </r>
  <r>
    <d v="2024-08-06T00:00:00"/>
    <s v="08-06"/>
    <x v="3"/>
    <d v="1899-12-30T14:38:00"/>
    <n v="11"/>
    <x v="7"/>
    <n v="1.9655"/>
    <n v="6.4878"/>
    <n v="27.1"/>
    <n v="2.5299999999999998"/>
    <n v="1.3"/>
    <n v="8.07"/>
    <n v="101"/>
    <n v="8.27"/>
    <m/>
    <n v="40"/>
    <n v="67.459999999999994"/>
    <n v="12.14"/>
    <n v="6.71"/>
    <n v="36.229999999999997"/>
    <m/>
    <n v="195.91"/>
    <n v="287.04000000000002"/>
    <n v="0.37"/>
    <n v="385612.26229542762"/>
    <n v="717244.22352549795"/>
  </r>
  <r>
    <d v="2024-08-06T00:00:00"/>
    <s v="08-06"/>
    <x v="3"/>
    <d v="1899-12-30T15:00:00"/>
    <n v="11"/>
    <x v="8"/>
    <n v="1.9373"/>
    <n v="6.4568000000000003"/>
    <n v="27.3"/>
    <n v="2.38"/>
    <n v="1.2"/>
    <n v="8.31"/>
    <n v="104.6"/>
    <n v="8.51"/>
    <m/>
    <n v="27"/>
    <n v="128.91999999999999"/>
    <n v="5.34"/>
    <n v="22.92"/>
    <n v="37.08"/>
    <m/>
    <n v="217.53"/>
    <n v="341.87"/>
    <n v="0.41"/>
    <n v="382486.59163122613"/>
    <n v="713823.2259921059"/>
  </r>
  <r>
    <d v="2024-08-06T00:00:00"/>
    <s v="08-06"/>
    <x v="3"/>
    <d v="1899-12-30T15:21:00"/>
    <n v="11"/>
    <x v="9"/>
    <n v="1.9348000000000001"/>
    <n v="6.4222000000000001"/>
    <n v="27.8"/>
    <n v="2.5299999999999998"/>
    <n v="1.3"/>
    <n v="8.31"/>
    <n v="105.8"/>
    <n v="8.6"/>
    <m/>
    <n v="31"/>
    <n v="145.19999999999999"/>
    <n v="14.38"/>
    <n v="15.2"/>
    <n v="33.979999999999997"/>
    <m/>
    <n v="175.83"/>
    <n v="338.78"/>
    <n v="0.18"/>
    <n v="382202.13294807624"/>
    <n v="709998.33191742201"/>
  </r>
  <r>
    <d v="2024-09-12T00:00:00"/>
    <s v="09-12"/>
    <x v="1"/>
    <d v="1899-12-30T09:37:00"/>
    <n v="12"/>
    <x v="0"/>
    <n v="1.93618"/>
    <n v="6.3917999999999999"/>
    <n v="27.6"/>
    <n v="6.22"/>
    <n v="3.4"/>
    <n v="7.1"/>
    <n v="89.7"/>
    <n v="8.25"/>
    <m/>
    <n v="51"/>
    <n v="24.84"/>
    <n v="5.34"/>
    <n v="2.84"/>
    <n v="70.92"/>
    <n v="0.15"/>
    <n v="198.23"/>
    <n v="345.46"/>
    <n v="8.66"/>
    <n v="382769.63003693346"/>
    <n v="706304.35337691102"/>
  </r>
  <r>
    <d v="2024-09-12T00:00:00"/>
    <s v="09-12"/>
    <x v="1"/>
    <d v="1899-12-30T10:22:00"/>
    <n v="12"/>
    <x v="1"/>
    <n v="1.9513"/>
    <n v="6.4095000000000004"/>
    <n v="27.7"/>
    <n v="3.91"/>
    <n v="2.1"/>
    <n v="7.77"/>
    <n v="98.2"/>
    <n v="8.24"/>
    <m/>
    <n v="55"/>
    <n v="28.41"/>
    <n v="3.2"/>
    <n v="8.25"/>
    <n v="42.44"/>
    <n v="0.11"/>
    <n v="197.45"/>
    <n v="396.53"/>
    <n v="6.91"/>
    <n v="384024.1570784403"/>
    <n v="708590.42751502525"/>
  </r>
  <r>
    <d v="2024-09-12T00:00:00"/>
    <s v="09-12"/>
    <x v="1"/>
    <d v="1899-12-30T10:57:00"/>
    <n v="12"/>
    <x v="2"/>
    <n v="1.9669000000000001"/>
    <n v="6.4546000000000001"/>
    <n v="27.9"/>
    <n v="4.62"/>
    <n v="2.5"/>
    <n v="7.65"/>
    <n v="96.9"/>
    <n v="8.2100000000000009"/>
    <m/>
    <n v="65"/>
    <n v="21.9"/>
    <n v="6.41"/>
    <n v="19.829999999999998"/>
    <n v="46.67"/>
    <n v="0.25"/>
    <n v="206.72"/>
    <n v="371"/>
    <n v="8.3800000000000008"/>
    <n v="385759.62074491731"/>
    <n v="713573.25678037247"/>
  </r>
  <r>
    <d v="2024-09-12T00:00:00"/>
    <s v="09-12"/>
    <x v="1"/>
    <d v="1899-12-30T11:12:00"/>
    <n v="12"/>
    <x v="3"/>
    <n v="1.9933000000000001"/>
    <n v="6.5007000000000001"/>
    <n v="28"/>
    <n v="4.46"/>
    <n v="2.4"/>
    <n v="7.95"/>
    <n v="109.9"/>
    <n v="8.25"/>
    <m/>
    <n v="63"/>
    <n v="18.39"/>
    <n v="2.14"/>
    <n v="22.92"/>
    <n v="61.05"/>
    <n v="0.25"/>
    <n v="194.36"/>
    <n v="401.64"/>
    <n v="7.77"/>
    <n v="388689.34009811806"/>
    <n v="718664.2720532401"/>
  </r>
  <r>
    <d v="2024-09-12T00:00:00"/>
    <s v="09-12"/>
    <x v="1"/>
    <d v="1899-12-30T11:39:00"/>
    <n v="12"/>
    <x v="4"/>
    <n v="1.984"/>
    <n v="6.5294999999999996"/>
    <n v="27.8"/>
    <n v="2.79"/>
    <n v="1.4"/>
    <n v="7.24"/>
    <n v="91.5"/>
    <n v="8.0299999999999994"/>
    <m/>
    <n v="49"/>
    <n v="28.56"/>
    <n v="1.07"/>
    <n v="15.2"/>
    <n v="57.95"/>
    <n v="0.08"/>
    <n v="223.71"/>
    <n v="460.37"/>
    <n v="8.66"/>
    <n v="387667.34262385243"/>
    <n v="721850.49534728227"/>
  </r>
  <r>
    <d v="2024-09-12T00:00:00"/>
    <s v="09-12"/>
    <x v="1"/>
    <d v="1899-12-30T11:55:00"/>
    <n v="12"/>
    <x v="5"/>
    <n v="1.9822"/>
    <n v="6.5602"/>
    <n v="27.9"/>
    <n v="1.94"/>
    <n v="1"/>
    <n v="7.19"/>
    <n v="91.1"/>
    <n v="7.95"/>
    <m/>
    <n v="48"/>
    <n v="38.61"/>
    <n v="4.2699999999999996"/>
    <n v="29.1"/>
    <n v="59.64"/>
    <n v="0.1"/>
    <n v="222.17"/>
    <n v="395.25"/>
    <n v="11.23"/>
    <n v="387475.18079440482"/>
    <n v="725245.13735641493"/>
  </r>
  <r>
    <d v="2024-09-12T00:00:00"/>
    <s v="09-12"/>
    <x v="1"/>
    <d v="1899-12-30T12:09:00"/>
    <n v="12"/>
    <x v="6"/>
    <n v="1.9809000000000001"/>
    <n v="6.5894000000000004"/>
    <n v="27.7"/>
    <n v="2.81"/>
    <n v="1.5"/>
    <n v="7.42"/>
    <n v="93.4"/>
    <n v="8.09"/>
    <m/>
    <n v="66"/>
    <n v="18.600000000000001"/>
    <n v="3.2"/>
    <n v="18.29"/>
    <n v="38.49"/>
    <n v="0.16"/>
    <n v="212.9"/>
    <n v="448.88"/>
    <n v="12.02"/>
    <n v="387338.0175576139"/>
    <n v="728473.83219849819"/>
  </r>
  <r>
    <d v="2024-09-12T00:00:00"/>
    <s v="09-12"/>
    <x v="1"/>
    <d v="1899-12-30T13:14:00"/>
    <n v="12"/>
    <x v="7"/>
    <n v="1.9655"/>
    <n v="6.4878"/>
    <n v="27.9"/>
    <n v="2.81"/>
    <n v="1.5"/>
    <n v="7.92"/>
    <n v="100.4"/>
    <n v="8.2200000000000006"/>
    <m/>
    <n v="49"/>
    <n v="43.77"/>
    <n v="5.34"/>
    <n v="11.34"/>
    <n v="39.049999999999997"/>
    <n v="7.0000000000000007E-2"/>
    <n v="216.76"/>
    <n v="409.3"/>
    <n v="13.4"/>
    <n v="385612.26229542762"/>
    <n v="717244.22352549795"/>
  </r>
  <r>
    <d v="2024-09-12T00:00:00"/>
    <s v="09-12"/>
    <x v="1"/>
    <d v="1899-12-30T13:33:00"/>
    <n v="12"/>
    <x v="8"/>
    <n v="1.9373"/>
    <n v="6.4568000000000003"/>
    <n v="28.1"/>
    <n v="2.92"/>
    <n v="1.5"/>
    <n v="7.84"/>
    <n v="100.2"/>
    <n v="8.3000000000000007"/>
    <m/>
    <n v="38"/>
    <n v="71.13"/>
    <n v="0"/>
    <n v="4.3899999999999997"/>
    <n v="52.87"/>
    <n v="0.1"/>
    <n v="196.68"/>
    <n v="396.53"/>
    <n v="11.1"/>
    <n v="382486.59163122613"/>
    <n v="713823.2259921059"/>
  </r>
  <r>
    <d v="2024-09-12T00:00:00"/>
    <s v="09-12"/>
    <x v="1"/>
    <d v="1899-12-30T13:47:00"/>
    <n v="12"/>
    <x v="9"/>
    <n v="1.9348000000000001"/>
    <n v="6.4222000000000001"/>
    <n v="28.5"/>
    <n v="4.2"/>
    <n v="2.2000000000000002"/>
    <n v="8.09"/>
    <n v="103.9"/>
    <n v="8.3699999999999992"/>
    <m/>
    <n v="33"/>
    <n v="42.78"/>
    <n v="5.34"/>
    <n v="6.71"/>
    <n v="59.36"/>
    <n v="0.03"/>
    <n v="192.82"/>
    <n v="390.15"/>
    <n v="11.68"/>
    <n v="382202.13294807624"/>
    <n v="709998.33191742201"/>
  </r>
  <r>
    <d v="2024-10-10T00:00:00"/>
    <s v="10-10"/>
    <x v="0"/>
    <d v="1899-12-30T09:07:00"/>
    <n v="13"/>
    <x v="0"/>
    <n v="1.93618"/>
    <n v="6.3917999999999999"/>
    <n v="28.4"/>
    <n v="3.86"/>
    <n v="2.1"/>
    <n v="6.63"/>
    <n v="85.7"/>
    <n v="8.18"/>
    <m/>
    <n v="37"/>
    <n v="26.7"/>
    <n v="1.07"/>
    <n v="21.38"/>
    <n v="64.430000000000007"/>
    <n v="0.14000000000000001"/>
    <n v="190.5"/>
    <n v="358.23"/>
    <n v="9.27"/>
    <n v="382769.63003693346"/>
    <n v="706304.35337691102"/>
  </r>
  <r>
    <d v="2024-10-10T00:00:00"/>
    <s v="10-10"/>
    <x v="0"/>
    <d v="1899-12-30T09:41:00"/>
    <n v="13"/>
    <x v="1"/>
    <n v="1.9513"/>
    <n v="6.4095000000000004"/>
    <n v="28.9"/>
    <n v="3.8"/>
    <n v="2"/>
    <n v="7.7"/>
    <n v="99.9"/>
    <n v="8.36"/>
    <m/>
    <n v="78"/>
    <n v="8.91"/>
    <n v="5.34"/>
    <n v="26.78"/>
    <n v="40.18"/>
    <n v="0.14000000000000001"/>
    <n v="175.06"/>
    <n v="402.92"/>
    <n v="10.19"/>
    <n v="384024.1570784403"/>
    <n v="708590.42751502525"/>
  </r>
  <r>
    <d v="2024-10-10T00:00:00"/>
    <s v="10-10"/>
    <x v="0"/>
    <d v="1899-12-30T09:57:00"/>
    <n v="13"/>
    <x v="2"/>
    <n v="1.9669000000000001"/>
    <n v="6.4546000000000001"/>
    <n v="29.6"/>
    <n v="3.79"/>
    <n v="2"/>
    <n v="7.53"/>
    <n v="98.3"/>
    <n v="8.23"/>
    <m/>
    <n v="76"/>
    <n v="9.18"/>
    <n v="3.2"/>
    <n v="10.57"/>
    <n v="45.54"/>
    <n v="0.13"/>
    <n v="199"/>
    <n v="395.25"/>
    <n v="10.49"/>
    <n v="385759.62074491731"/>
    <n v="713573.25678037247"/>
  </r>
  <r>
    <d v="2024-10-10T00:00:00"/>
    <s v="10-10"/>
    <x v="0"/>
    <d v="1899-12-30T10:29:00"/>
    <n v="13"/>
    <x v="3"/>
    <n v="1.9933000000000001"/>
    <n v="6.5007000000000001"/>
    <n v="30.1"/>
    <n v="2.82"/>
    <n v="1.5"/>
    <n v="8.0299999999999994"/>
    <n v="106.3"/>
    <n v="8.4"/>
    <m/>
    <n v="61"/>
    <n v="15.36"/>
    <n v="4.2699999999999996"/>
    <n v="13.66"/>
    <n v="26.93"/>
    <n v="0.14000000000000001"/>
    <n v="175.83"/>
    <n v="372.27"/>
    <n v="9.3000000000000007"/>
    <n v="388689.34009811806"/>
    <n v="718664.2720532401"/>
  </r>
  <r>
    <d v="2024-10-10T00:00:00"/>
    <s v="10-10"/>
    <x v="0"/>
    <d v="1899-12-30T10:49:00"/>
    <n v="13"/>
    <x v="4"/>
    <n v="1.984"/>
    <n v="6.5294999999999996"/>
    <n v="29.8"/>
    <n v="1.74"/>
    <n v="0.9"/>
    <n v="8.09"/>
    <n v="106.4"/>
    <n v="8.26"/>
    <m/>
    <n v="63"/>
    <n v="19.82"/>
    <n v="3.2"/>
    <n v="39.909999999999997"/>
    <n v="29.18"/>
    <n v="0.11"/>
    <n v="167.34"/>
    <n v="358.23"/>
    <n v="6.02"/>
    <n v="387667.34262385243"/>
    <n v="721850.49534728227"/>
  </r>
  <r>
    <d v="2024-10-10T00:00:00"/>
    <s v="10-10"/>
    <x v="0"/>
    <d v="1899-12-30T11:03:00"/>
    <n v="13"/>
    <x v="5"/>
    <n v="1.9822"/>
    <n v="6.5602"/>
    <n v="30.1"/>
    <n v="2.1"/>
    <n v="1.1000000000000001"/>
    <n v="7.87"/>
    <n v="104.1"/>
    <n v="8.25"/>
    <m/>
    <n v="70"/>
    <n v="15.88"/>
    <n v="9.61"/>
    <n v="30.65"/>
    <n v="35.950000000000003"/>
    <n v="0.14000000000000001"/>
    <n v="199.77"/>
    <n v="410.58"/>
    <n v="6.58"/>
    <n v="387475.18079440482"/>
    <n v="725245.13735641493"/>
  </r>
  <r>
    <d v="2024-10-10T00:00:00"/>
    <s v="10-10"/>
    <x v="0"/>
    <d v="1899-12-30T11:16:00"/>
    <n v="13"/>
    <x v="6"/>
    <n v="1.9809000000000001"/>
    <n v="6.5894000000000004"/>
    <n v="30.1"/>
    <n v="0.7"/>
    <n v="0.3"/>
    <n v="6.82"/>
    <n v="90"/>
    <n v="7.8"/>
    <m/>
    <n v="45"/>
    <n v="40.14"/>
    <n v="3.2"/>
    <n v="63.85"/>
    <n v="39.9"/>
    <n v="0.13"/>
    <n v="158.07"/>
    <n v="409.3"/>
    <n v="6.24"/>
    <n v="387338.0175576139"/>
    <n v="728473.83219849819"/>
  </r>
  <r>
    <d v="2024-10-10T00:00:00"/>
    <s v="10-10"/>
    <x v="0"/>
    <d v="1899-12-30T12:18:00"/>
    <n v="13"/>
    <x v="7"/>
    <n v="1.9655"/>
    <n v="6.4878"/>
    <n v="29.4"/>
    <n v="2.83"/>
    <n v="1.4"/>
    <n v="7.84"/>
    <n v="102.4"/>
    <n v="8.26"/>
    <m/>
    <n v="80"/>
    <n v="15.02"/>
    <n v="5.34"/>
    <n v="32.96"/>
    <n v="37.36"/>
    <n v="0.11"/>
    <n v="198.23"/>
    <n v="392.7"/>
    <n v="10.19"/>
    <n v="385612.26229542762"/>
    <n v="717244.22352549795"/>
  </r>
  <r>
    <d v="2024-10-10T00:00:00"/>
    <s v="10-10"/>
    <x v="0"/>
    <d v="1899-12-30T12:39:00"/>
    <n v="13"/>
    <x v="8"/>
    <n v="1.9373"/>
    <n v="6.4568000000000003"/>
    <n v="29.7"/>
    <n v="3.2"/>
    <n v="1.7"/>
    <n v="8"/>
    <n v="105.1"/>
    <n v="8.4600000000000009"/>
    <m/>
    <n v="64"/>
    <n v="18.96"/>
    <n v="7.48"/>
    <n v="28.33"/>
    <n v="39.340000000000003"/>
    <n v="0.21"/>
    <n v="181.24"/>
    <n v="395.25"/>
    <n v="11.1"/>
    <n v="382486.59163122613"/>
    <n v="713823.2259921059"/>
  </r>
  <r>
    <d v="2024-10-10T00:00:00"/>
    <s v="10-10"/>
    <x v="0"/>
    <d v="1899-12-30T12:58:00"/>
    <n v="13"/>
    <x v="9"/>
    <n v="1.9348000000000001"/>
    <n v="6.4222000000000001"/>
    <n v="31.1"/>
    <n v="4.2"/>
    <n v="2.2999999999999998"/>
    <n v="7.89"/>
    <n v="105.1"/>
    <n v="8.4"/>
    <m/>
    <n v="68"/>
    <n v="21.74"/>
    <n v="10.68"/>
    <n v="34.51"/>
    <n v="62.46"/>
    <n v="0.17"/>
    <n v="185.87"/>
    <n v="436.11"/>
    <n v="11.99"/>
    <n v="382202.13294807624"/>
    <n v="709998.33191742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4FA4C-ECF8-47DF-AD12-7623BE9C141A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14" firstHeaderRow="1" firstDataRow="1" firstDataCol="1" rowPageCount="1" colPageCount="1"/>
  <pivotFields count="26">
    <pivotField numFmtId="14" showAll="0"/>
    <pivotField showAll="0"/>
    <pivotField axis="axisPage" showAll="0">
      <items count="5">
        <item x="2"/>
        <item x="1"/>
        <item x="0"/>
        <item x="3"/>
        <item t="default"/>
      </items>
    </pivotField>
    <pivotField numFmtId="20" showAll="0"/>
    <pivotField showAll="0"/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item="0" hier="-1"/>
  </pageFields>
  <dataFields count="1">
    <dataField name="Moyenne de pH" fld="13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6C13790-9A9D-426F-9240-329BEDEE4403}" autoFormatId="16" applyNumberFormats="0" applyBorderFormats="0" applyFontFormats="0" applyPatternFormats="0" applyAlignmentFormats="0" applyWidthHeightFormats="0">
  <queryTableRefresh nextId="13">
    <queryTableFields count="12">
      <queryTableField id="1" name="Stations" tableColumnId="1"/>
      <queryTableField id="2" name="Temperature" tableColumnId="2"/>
      <queryTableField id="3" name="Conductivity" tableColumnId="3"/>
      <queryTableField id="4" name="O2" tableColumnId="4"/>
      <queryTableField id="5" name="pH" tableColumnId="5"/>
      <queryTableField id="6" name="Turbidity" tableColumnId="6"/>
      <queryTableField id="7" name="Chl_a" tableColumnId="7"/>
      <queryTableField id="8" name="N_NO2" tableColumnId="8"/>
      <queryTableField id="9" name="N_NH4" tableColumnId="9"/>
      <queryTableField id="10" name="P_PO4" tableColumnId="10"/>
      <queryTableField id="11" name="PT" tableColumnId="11"/>
      <queryTableField id="12" name="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FDAC9-3EF2-4F88-BDE3-27B3C6E72236}" name="df_aheme" displayName="df_aheme" ref="A1:L11" tableType="queryTable" totalsRowShown="0">
  <autoFilter ref="A1:L11" xr:uid="{2A9FDAC9-3EF2-4F88-BDE3-27B3C6E72236}"/>
  <tableColumns count="12">
    <tableColumn id="1" xr3:uid="{325E1FBD-69BB-445F-9C19-C0F48213BB2B}" uniqueName="1" name="Stations" queryTableFieldId="1" dataDxfId="11"/>
    <tableColumn id="2" xr3:uid="{40E613A3-16F6-4BE4-A48F-BDB620866B85}" uniqueName="2" name="Temperature" queryTableFieldId="2" dataDxfId="10"/>
    <tableColumn id="3" xr3:uid="{0C91DAA9-EDD4-4A60-8A54-96F7F8F73D30}" uniqueName="3" name="Conductivity" queryTableFieldId="3" dataDxfId="9"/>
    <tableColumn id="4" xr3:uid="{D4B5BDE9-BC23-4DAA-841B-1713FF6472BE}" uniqueName="4" name="O2" queryTableFieldId="4" dataDxfId="8"/>
    <tableColumn id="5" xr3:uid="{8A71D0F6-84C0-462A-BCC9-0F0A149F2928}" uniqueName="5" name="pH" queryTableFieldId="5" dataDxfId="7"/>
    <tableColumn id="6" xr3:uid="{B5299AD0-25DF-4C8F-9C8E-5289921A2D4C}" uniqueName="6" name="Turbidity" queryTableFieldId="6" dataDxfId="6"/>
    <tableColumn id="7" xr3:uid="{2B696DA0-E0B0-4772-9EB5-26F7CFD30EF9}" uniqueName="7" name="Chl_a" queryTableFieldId="7" dataDxfId="5"/>
    <tableColumn id="8" xr3:uid="{6FA4EF04-4B40-472C-8877-9BCE7D88E729}" uniqueName="8" name="N_NO2" queryTableFieldId="8" dataDxfId="4"/>
    <tableColumn id="9" xr3:uid="{5B51BF08-685D-4266-B04B-C9FC0329635D}" uniqueName="9" name="N_NH4" queryTableFieldId="9" dataDxfId="3"/>
    <tableColumn id="10" xr3:uid="{E03C5C73-FAE1-4111-858B-526DABDA4A3C}" uniqueName="10" name="P_PO4" queryTableFieldId="10" dataDxfId="2"/>
    <tableColumn id="11" xr3:uid="{9E373B12-9960-4894-AB1E-D5B85432689F}" uniqueName="11" name="PT" queryTableFieldId="11" dataDxfId="1"/>
    <tableColumn id="12" xr3:uid="{F4B87C4E-21CA-4E51-931A-5CF00E8EC5B1}" uniqueName="12" name="N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F34-5E9A-405C-86AB-7626BC1C7C14}">
  <dimension ref="A1:B14"/>
  <sheetViews>
    <sheetView workbookViewId="0">
      <selection sqref="A1:B14"/>
    </sheetView>
  </sheetViews>
  <sheetFormatPr baseColWidth="10" defaultRowHeight="15" x14ac:dyDescent="0.25"/>
  <cols>
    <col min="1" max="1" width="20.7109375" bestFit="1" customWidth="1"/>
    <col min="2" max="2" width="14.7109375" bestFit="1" customWidth="1"/>
    <col min="3" max="3" width="4.85546875" bestFit="1" customWidth="1"/>
    <col min="4" max="5" width="4.5703125" bestFit="1" customWidth="1"/>
    <col min="6" max="6" width="12.5703125" bestFit="1" customWidth="1"/>
  </cols>
  <sheetData>
    <row r="1" spans="1:2" x14ac:dyDescent="0.25">
      <c r="A1" s="7" t="s">
        <v>54</v>
      </c>
      <c r="B1" t="s">
        <v>58</v>
      </c>
    </row>
    <row r="3" spans="1:2" x14ac:dyDescent="0.25">
      <c r="A3" s="7" t="s">
        <v>56</v>
      </c>
      <c r="B3" t="s">
        <v>62</v>
      </c>
    </row>
    <row r="4" spans="1:2" x14ac:dyDescent="0.25">
      <c r="A4" s="8" t="s">
        <v>22</v>
      </c>
      <c r="B4">
        <v>7.7333333333333334</v>
      </c>
    </row>
    <row r="5" spans="1:2" x14ac:dyDescent="0.25">
      <c r="A5" s="8" t="s">
        <v>31</v>
      </c>
      <c r="B5">
        <v>8.2050000000000001</v>
      </c>
    </row>
    <row r="6" spans="1:2" x14ac:dyDescent="0.25">
      <c r="A6" s="8" t="s">
        <v>23</v>
      </c>
      <c r="B6">
        <v>8.2766666666666673</v>
      </c>
    </row>
    <row r="7" spans="1:2" x14ac:dyDescent="0.25">
      <c r="A7" s="8" t="s">
        <v>24</v>
      </c>
      <c r="B7">
        <v>8.1666666666666661</v>
      </c>
    </row>
    <row r="8" spans="1:2" x14ac:dyDescent="0.25">
      <c r="A8" s="8" t="s">
        <v>25</v>
      </c>
      <c r="B8">
        <v>8.19</v>
      </c>
    </row>
    <row r="9" spans="1:2" x14ac:dyDescent="0.25">
      <c r="A9" s="8" t="s">
        <v>26</v>
      </c>
      <c r="B9">
        <v>8.4050000000000011</v>
      </c>
    </row>
    <row r="10" spans="1:2" x14ac:dyDescent="0.25">
      <c r="A10" s="8" t="s">
        <v>27</v>
      </c>
      <c r="B10">
        <v>8.4849999999999994</v>
      </c>
    </row>
    <row r="11" spans="1:2" x14ac:dyDescent="0.25">
      <c r="A11" s="8" t="s">
        <v>28</v>
      </c>
      <c r="B11">
        <v>8.3150000000000013</v>
      </c>
    </row>
    <row r="12" spans="1:2" x14ac:dyDescent="0.25">
      <c r="A12" s="8" t="s">
        <v>29</v>
      </c>
      <c r="B12">
        <v>8.3249999999999993</v>
      </c>
    </row>
    <row r="13" spans="1:2" x14ac:dyDescent="0.25">
      <c r="A13" s="8" t="s">
        <v>30</v>
      </c>
      <c r="B13">
        <v>8.245000000000001</v>
      </c>
    </row>
    <row r="14" spans="1:2" x14ac:dyDescent="0.25">
      <c r="A14" s="8" t="s">
        <v>57</v>
      </c>
      <c r="B14">
        <v>8.2108333333333334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057E-8178-41D5-8E2A-C8CFF87031F7}">
  <dimension ref="B1:L19"/>
  <sheetViews>
    <sheetView workbookViewId="0">
      <selection activeCell="C5" sqref="C5"/>
    </sheetView>
  </sheetViews>
  <sheetFormatPr baseColWidth="10" defaultRowHeight="15" x14ac:dyDescent="0.25"/>
  <cols>
    <col min="3" max="3" width="13.42578125" bestFit="1" customWidth="1"/>
  </cols>
  <sheetData>
    <row r="1" spans="2:12" x14ac:dyDescent="0.25">
      <c r="B1" t="s">
        <v>54</v>
      </c>
      <c r="C1" t="s">
        <v>58</v>
      </c>
      <c r="E1" t="s">
        <v>54</v>
      </c>
      <c r="F1" t="s">
        <v>59</v>
      </c>
      <c r="H1" t="s">
        <v>54</v>
      </c>
      <c r="I1" t="s">
        <v>60</v>
      </c>
      <c r="K1" t="s">
        <v>54</v>
      </c>
      <c r="L1" t="s">
        <v>61</v>
      </c>
    </row>
    <row r="3" spans="2:12" x14ac:dyDescent="0.25">
      <c r="B3" t="s">
        <v>56</v>
      </c>
      <c r="C3" t="s">
        <v>62</v>
      </c>
      <c r="E3" t="s">
        <v>56</v>
      </c>
      <c r="F3" t="s">
        <v>62</v>
      </c>
      <c r="H3" t="s">
        <v>56</v>
      </c>
      <c r="I3" t="s">
        <v>62</v>
      </c>
      <c r="K3" t="s">
        <v>56</v>
      </c>
      <c r="L3" t="s">
        <v>62</v>
      </c>
    </row>
    <row r="4" spans="2:12" x14ac:dyDescent="0.25">
      <c r="B4" t="s">
        <v>22</v>
      </c>
      <c r="C4">
        <v>7.7333333333333334</v>
      </c>
      <c r="E4" t="s">
        <v>22</v>
      </c>
      <c r="F4">
        <v>7.9785714285714278</v>
      </c>
      <c r="H4" t="s">
        <v>22</v>
      </c>
      <c r="I4">
        <v>8.129999999999999</v>
      </c>
      <c r="K4" t="s">
        <v>22</v>
      </c>
      <c r="L4">
        <v>7.93</v>
      </c>
    </row>
    <row r="5" spans="2:12" x14ac:dyDescent="0.25">
      <c r="B5" t="s">
        <v>31</v>
      </c>
      <c r="C5">
        <v>8.2050000000000001</v>
      </c>
      <c r="E5" t="s">
        <v>31</v>
      </c>
      <c r="F5">
        <v>8.1928571428571413</v>
      </c>
      <c r="H5" t="s">
        <v>31</v>
      </c>
      <c r="I5">
        <v>8.3500000000000014</v>
      </c>
      <c r="K5" t="s">
        <v>31</v>
      </c>
      <c r="L5">
        <v>8.6</v>
      </c>
    </row>
    <row r="6" spans="2:12" x14ac:dyDescent="0.25">
      <c r="B6" t="s">
        <v>23</v>
      </c>
      <c r="C6">
        <v>8.2766666666666673</v>
      </c>
      <c r="E6" t="s">
        <v>23</v>
      </c>
      <c r="F6">
        <v>8.2557142857142853</v>
      </c>
      <c r="H6" t="s">
        <v>23</v>
      </c>
      <c r="I6">
        <v>8.3649999999999984</v>
      </c>
      <c r="K6" t="s">
        <v>23</v>
      </c>
      <c r="L6">
        <v>8.56</v>
      </c>
    </row>
    <row r="7" spans="2:12" x14ac:dyDescent="0.25">
      <c r="B7" t="s">
        <v>24</v>
      </c>
      <c r="C7">
        <v>8.1666666666666661</v>
      </c>
      <c r="E7" t="s">
        <v>24</v>
      </c>
      <c r="F7">
        <v>8.2771428571428576</v>
      </c>
      <c r="H7" t="s">
        <v>24</v>
      </c>
      <c r="I7">
        <v>8.33</v>
      </c>
      <c r="K7" t="s">
        <v>24</v>
      </c>
      <c r="L7">
        <v>8.3000000000000007</v>
      </c>
    </row>
    <row r="8" spans="2:12" x14ac:dyDescent="0.25">
      <c r="B8" t="s">
        <v>25</v>
      </c>
      <c r="C8">
        <v>8.19</v>
      </c>
      <c r="E8" t="s">
        <v>25</v>
      </c>
      <c r="F8">
        <v>8.2900000000000009</v>
      </c>
      <c r="H8" t="s">
        <v>25</v>
      </c>
      <c r="I8">
        <v>8.4050000000000011</v>
      </c>
      <c r="K8" t="s">
        <v>25</v>
      </c>
      <c r="L8">
        <v>8.2200000000000006</v>
      </c>
    </row>
    <row r="9" spans="2:12" x14ac:dyDescent="0.25">
      <c r="B9" t="s">
        <v>26</v>
      </c>
      <c r="C9">
        <v>8.4050000000000011</v>
      </c>
      <c r="E9" t="s">
        <v>26</v>
      </c>
      <c r="F9">
        <v>8.2071428571428573</v>
      </c>
      <c r="H9" t="s">
        <v>26</v>
      </c>
      <c r="I9">
        <v>8.35</v>
      </c>
      <c r="K9" t="s">
        <v>26</v>
      </c>
      <c r="L9">
        <v>8.1300000000000008</v>
      </c>
    </row>
    <row r="10" spans="2:12" x14ac:dyDescent="0.25">
      <c r="B10" t="s">
        <v>27</v>
      </c>
      <c r="C10">
        <v>8.4849999999999994</v>
      </c>
      <c r="E10" t="s">
        <v>27</v>
      </c>
      <c r="F10">
        <v>8.1157142857142865</v>
      </c>
      <c r="H10" t="s">
        <v>27</v>
      </c>
      <c r="I10">
        <v>8.2949999999999999</v>
      </c>
      <c r="K10" t="s">
        <v>27</v>
      </c>
      <c r="L10">
        <v>8.15</v>
      </c>
    </row>
    <row r="11" spans="2:12" x14ac:dyDescent="0.25">
      <c r="B11" t="s">
        <v>28</v>
      </c>
      <c r="C11">
        <v>8.3150000000000013</v>
      </c>
      <c r="E11" t="s">
        <v>28</v>
      </c>
      <c r="F11">
        <v>7.9585714285714291</v>
      </c>
      <c r="H11" t="s">
        <v>28</v>
      </c>
      <c r="I11">
        <v>7.99</v>
      </c>
      <c r="K11" t="s">
        <v>28</v>
      </c>
      <c r="L11">
        <v>8.25</v>
      </c>
    </row>
    <row r="12" spans="2:12" x14ac:dyDescent="0.25">
      <c r="B12" t="s">
        <v>29</v>
      </c>
      <c r="C12">
        <v>8.3249999999999993</v>
      </c>
      <c r="E12" t="s">
        <v>29</v>
      </c>
      <c r="F12">
        <v>8.2928571428571427</v>
      </c>
      <c r="H12" t="s">
        <v>29</v>
      </c>
      <c r="I12">
        <v>8.4450000000000003</v>
      </c>
      <c r="K12" t="s">
        <v>29</v>
      </c>
      <c r="L12">
        <v>8.27</v>
      </c>
    </row>
    <row r="13" spans="2:12" x14ac:dyDescent="0.25">
      <c r="B13" t="s">
        <v>30</v>
      </c>
      <c r="C13">
        <v>8.245000000000001</v>
      </c>
      <c r="E13" t="s">
        <v>30</v>
      </c>
      <c r="F13">
        <v>8.3542857142857141</v>
      </c>
      <c r="H13" t="s">
        <v>30</v>
      </c>
      <c r="I13">
        <v>8.5050000000000008</v>
      </c>
      <c r="K13" t="s">
        <v>30</v>
      </c>
      <c r="L13">
        <v>8.51</v>
      </c>
    </row>
    <row r="14" spans="2:12" x14ac:dyDescent="0.25">
      <c r="B14" t="s">
        <v>57</v>
      </c>
      <c r="C14">
        <v>8.2108333333333334</v>
      </c>
      <c r="E14" t="s">
        <v>57</v>
      </c>
      <c r="F14">
        <v>8.1922857142857168</v>
      </c>
      <c r="H14" t="s">
        <v>57</v>
      </c>
      <c r="I14">
        <v>8.3165000000000013</v>
      </c>
      <c r="K14" t="s">
        <v>57</v>
      </c>
      <c r="L14">
        <v>8.2919999999999998</v>
      </c>
    </row>
    <row r="19" spans="3:3" x14ac:dyDescent="0.25">
      <c r="C19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80B-4FBF-4C58-8B8A-42610D8562A4}">
  <dimension ref="A1:Z131"/>
  <sheetViews>
    <sheetView workbookViewId="0">
      <pane ySplit="1" topLeftCell="A2" activePane="bottomLeft" state="frozen"/>
      <selection activeCell="E1" sqref="E1"/>
      <selection pane="bottomLeft" activeCell="J1" sqref="J1:J1048576"/>
    </sheetView>
  </sheetViews>
  <sheetFormatPr baseColWidth="10" defaultRowHeight="15" x14ac:dyDescent="0.25"/>
  <cols>
    <col min="1" max="3" width="11" style="1"/>
    <col min="4" max="4" width="11" style="2"/>
  </cols>
  <sheetData>
    <row r="1" spans="1:26" x14ac:dyDescent="0.25">
      <c r="A1" s="1" t="s">
        <v>0</v>
      </c>
      <c r="B1" s="1" t="s">
        <v>55</v>
      </c>
      <c r="C1" s="1" t="s">
        <v>54</v>
      </c>
      <c r="D1" s="2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20</v>
      </c>
      <c r="X1" t="s">
        <v>21</v>
      </c>
      <c r="Y1" s="3" t="s">
        <v>47</v>
      </c>
      <c r="Z1" s="3" t="s">
        <v>48</v>
      </c>
    </row>
    <row r="2" spans="1:26" x14ac:dyDescent="0.25">
      <c r="A2" s="1">
        <v>45204</v>
      </c>
      <c r="B2" s="6" t="str">
        <f>TEXT(A2, "MM-JJ")</f>
        <v>10-05</v>
      </c>
      <c r="C2" s="1" t="str">
        <f>IF(AND(B2&gt;="04-01", B2&lt;="07-01"), "GSP", IF(AND(B2&gt;="08-01", B2&lt;="09-01"), "PSS", IF(AND(B2&gt;="10-01", B2&lt;="11-01"), "PSP", "GSS")))</f>
        <v>PSP</v>
      </c>
      <c r="D2" s="2">
        <v>0.37847222222222227</v>
      </c>
      <c r="E2">
        <v>1</v>
      </c>
      <c r="F2" t="s">
        <v>22</v>
      </c>
      <c r="G2" s="5">
        <v>1.93618</v>
      </c>
      <c r="H2" s="5">
        <v>6.3917999999999999</v>
      </c>
      <c r="I2">
        <v>29.1</v>
      </c>
      <c r="J2">
        <v>2.7</v>
      </c>
      <c r="K2">
        <v>1.4</v>
      </c>
      <c r="L2">
        <v>6.05</v>
      </c>
      <c r="M2">
        <v>78.400000000000006</v>
      </c>
      <c r="N2">
        <v>8.08</v>
      </c>
      <c r="Q2">
        <v>67.86</v>
      </c>
      <c r="S2">
        <v>8.23</v>
      </c>
      <c r="T2">
        <v>150.4</v>
      </c>
      <c r="U2">
        <v>0.17</v>
      </c>
      <c r="V2">
        <v>167.98</v>
      </c>
      <c r="W2">
        <v>250.98</v>
      </c>
      <c r="X2">
        <v>22.36</v>
      </c>
      <c r="Y2" s="4">
        <v>382769.63003693346</v>
      </c>
      <c r="Z2" s="4">
        <v>706304.35337691102</v>
      </c>
    </row>
    <row r="3" spans="1:26" x14ac:dyDescent="0.25">
      <c r="A3" s="1">
        <v>45204</v>
      </c>
      <c r="B3" s="6" t="str">
        <f t="shared" ref="B3:B66" si="0">TEXT(A3, "MM-JJ")</f>
        <v>10-05</v>
      </c>
      <c r="C3" s="1" t="str">
        <f t="shared" ref="C3:C66" si="1">IF(AND(B3&gt;="04-01", B3&lt;="07-01"), "GSP", IF(AND(B3&gt;="08-01", B3&lt;="09-01"), "PSS", IF(AND(B3&gt;="10-01", B3&lt;="11-01"), "PSP", "GSS")))</f>
        <v>PSP</v>
      </c>
      <c r="D3" s="2">
        <v>0.39652777777777781</v>
      </c>
      <c r="E3">
        <v>1</v>
      </c>
      <c r="F3" t="s">
        <v>23</v>
      </c>
      <c r="G3" s="5">
        <v>1.9513</v>
      </c>
      <c r="H3" s="5">
        <v>6.4095000000000004</v>
      </c>
      <c r="I3">
        <v>29.2</v>
      </c>
      <c r="J3">
        <v>2.27</v>
      </c>
      <c r="K3">
        <v>1.1000000000000001</v>
      </c>
      <c r="L3">
        <v>6.62</v>
      </c>
      <c r="M3">
        <v>86</v>
      </c>
      <c r="N3">
        <v>8.3699999999999992</v>
      </c>
      <c r="O3">
        <v>-112</v>
      </c>
      <c r="Q3">
        <v>49.66</v>
      </c>
      <c r="S3">
        <v>12.47</v>
      </c>
      <c r="T3">
        <v>131.76</v>
      </c>
      <c r="U3">
        <v>0.16</v>
      </c>
      <c r="V3">
        <v>169.26</v>
      </c>
      <c r="W3">
        <v>233.1</v>
      </c>
      <c r="X3">
        <v>24.59</v>
      </c>
      <c r="Y3" s="4">
        <v>384024.1570784403</v>
      </c>
      <c r="Z3" s="4">
        <v>708590.42751502525</v>
      </c>
    </row>
    <row r="4" spans="1:26" x14ac:dyDescent="0.25">
      <c r="A4" s="1">
        <v>45204</v>
      </c>
      <c r="B4" s="6" t="str">
        <f t="shared" si="0"/>
        <v>10-05</v>
      </c>
      <c r="C4" s="1" t="str">
        <f t="shared" si="1"/>
        <v>PSP</v>
      </c>
      <c r="D4" s="2">
        <v>0.41666666666666669</v>
      </c>
      <c r="E4">
        <v>1</v>
      </c>
      <c r="F4" t="s">
        <v>24</v>
      </c>
      <c r="G4" s="5">
        <v>1.9669000000000001</v>
      </c>
      <c r="H4" s="5">
        <v>6.4546000000000001</v>
      </c>
      <c r="I4">
        <v>29.4</v>
      </c>
      <c r="J4">
        <v>2.76</v>
      </c>
      <c r="K4">
        <v>1.4</v>
      </c>
      <c r="L4">
        <v>7.01</v>
      </c>
      <c r="M4">
        <v>91.4</v>
      </c>
      <c r="N4">
        <v>8.43</v>
      </c>
      <c r="O4">
        <v>-120</v>
      </c>
      <c r="Q4">
        <v>33.14</v>
      </c>
      <c r="S4">
        <v>10.210000000000001</v>
      </c>
      <c r="T4">
        <v>104.36</v>
      </c>
      <c r="U4">
        <v>0.2</v>
      </c>
      <c r="V4">
        <v>190.97</v>
      </c>
      <c r="W4">
        <v>230.55</v>
      </c>
      <c r="X4">
        <v>24.96</v>
      </c>
      <c r="Y4" s="4">
        <v>385759.62074491731</v>
      </c>
      <c r="Z4" s="4">
        <v>713573.25678037247</v>
      </c>
    </row>
    <row r="5" spans="1:26" x14ac:dyDescent="0.25">
      <c r="A5" s="1">
        <v>45204</v>
      </c>
      <c r="B5" s="6" t="str">
        <f t="shared" si="0"/>
        <v>10-05</v>
      </c>
      <c r="C5" s="1" t="str">
        <f t="shared" si="1"/>
        <v>PSP</v>
      </c>
      <c r="D5" s="2">
        <v>0.4381944444444445</v>
      </c>
      <c r="E5">
        <v>1</v>
      </c>
      <c r="F5" t="s">
        <v>25</v>
      </c>
      <c r="G5" s="5">
        <v>1.9933000000000001</v>
      </c>
      <c r="H5" s="5">
        <v>6.5007000000000001</v>
      </c>
      <c r="I5">
        <v>29.7</v>
      </c>
      <c r="J5">
        <v>2.06</v>
      </c>
      <c r="K5">
        <v>1</v>
      </c>
      <c r="L5">
        <v>7.6</v>
      </c>
      <c r="M5">
        <v>92.5</v>
      </c>
      <c r="N5">
        <v>8.41</v>
      </c>
      <c r="O5">
        <v>-117</v>
      </c>
      <c r="Q5">
        <v>32.76</v>
      </c>
      <c r="S5">
        <v>7.38</v>
      </c>
      <c r="T5">
        <v>86.83</v>
      </c>
      <c r="U5">
        <v>0.14000000000000001</v>
      </c>
      <c r="V5">
        <v>166.71</v>
      </c>
      <c r="W5">
        <v>222.89</v>
      </c>
      <c r="X5">
        <v>26.4</v>
      </c>
      <c r="Y5" s="4">
        <v>388689.34009811806</v>
      </c>
      <c r="Z5" s="4">
        <v>718664.2720532401</v>
      </c>
    </row>
    <row r="6" spans="1:26" x14ac:dyDescent="0.25">
      <c r="A6" s="1">
        <v>45204</v>
      </c>
      <c r="B6" s="6" t="str">
        <f t="shared" si="0"/>
        <v>10-05</v>
      </c>
      <c r="C6" s="1" t="str">
        <f t="shared" si="1"/>
        <v>PSP</v>
      </c>
      <c r="D6" s="2">
        <v>0.45694444444444443</v>
      </c>
      <c r="E6">
        <v>1</v>
      </c>
      <c r="F6" t="s">
        <v>26</v>
      </c>
      <c r="G6" s="5">
        <v>1.984</v>
      </c>
      <c r="H6" s="5">
        <v>6.5294999999999996</v>
      </c>
      <c r="I6">
        <v>29.9</v>
      </c>
      <c r="J6">
        <v>0.74</v>
      </c>
      <c r="K6">
        <v>0.3</v>
      </c>
      <c r="L6">
        <v>6.91</v>
      </c>
      <c r="M6">
        <v>90.8</v>
      </c>
      <c r="N6">
        <v>8.44</v>
      </c>
      <c r="O6">
        <v>-123</v>
      </c>
      <c r="Q6">
        <v>31.56</v>
      </c>
      <c r="S6">
        <v>10.49</v>
      </c>
      <c r="T6">
        <v>71.48</v>
      </c>
      <c r="U6">
        <v>0.2</v>
      </c>
      <c r="V6">
        <v>153.94</v>
      </c>
      <c r="W6">
        <v>192.24</v>
      </c>
      <c r="X6">
        <v>20.309999999999999</v>
      </c>
      <c r="Y6" s="4">
        <v>387667.34262385243</v>
      </c>
      <c r="Z6" s="4">
        <v>721850.49534728227</v>
      </c>
    </row>
    <row r="7" spans="1:26" x14ac:dyDescent="0.25">
      <c r="A7" s="1">
        <v>45204</v>
      </c>
      <c r="B7" s="6" t="str">
        <f t="shared" si="0"/>
        <v>10-05</v>
      </c>
      <c r="C7" s="1" t="str">
        <f t="shared" si="1"/>
        <v>PSP</v>
      </c>
      <c r="D7" s="2">
        <v>0.46458333333333335</v>
      </c>
      <c r="E7">
        <v>1</v>
      </c>
      <c r="F7" t="s">
        <v>27</v>
      </c>
      <c r="G7" s="5">
        <v>1.9822</v>
      </c>
      <c r="H7" s="5">
        <v>6.5602</v>
      </c>
      <c r="I7">
        <v>30.2</v>
      </c>
      <c r="J7">
        <v>0.7</v>
      </c>
      <c r="K7">
        <v>0.3</v>
      </c>
      <c r="L7">
        <v>6.95</v>
      </c>
      <c r="M7">
        <v>91.9</v>
      </c>
      <c r="N7">
        <v>8.34</v>
      </c>
      <c r="O7">
        <v>-118</v>
      </c>
      <c r="Q7">
        <v>32.58</v>
      </c>
      <c r="S7">
        <v>12.47</v>
      </c>
      <c r="T7">
        <v>80.25</v>
      </c>
      <c r="U7">
        <v>0.17</v>
      </c>
      <c r="V7">
        <v>152.66</v>
      </c>
      <c r="W7">
        <v>192.24</v>
      </c>
      <c r="X7">
        <v>19.670000000000002</v>
      </c>
      <c r="Y7" s="4">
        <v>387475.18079440482</v>
      </c>
      <c r="Z7" s="4">
        <v>725245.13735641493</v>
      </c>
    </row>
    <row r="8" spans="1:26" x14ac:dyDescent="0.25">
      <c r="A8" s="1">
        <v>45204</v>
      </c>
      <c r="B8" s="6" t="str">
        <f t="shared" si="0"/>
        <v>10-05</v>
      </c>
      <c r="C8" s="1" t="str">
        <f t="shared" si="1"/>
        <v>PSP</v>
      </c>
      <c r="D8" s="2">
        <v>0.4770833333333333</v>
      </c>
      <c r="E8">
        <v>1</v>
      </c>
      <c r="F8" t="s">
        <v>28</v>
      </c>
      <c r="G8" s="5">
        <v>1.9809000000000001</v>
      </c>
      <c r="H8" s="5">
        <v>6.5894000000000004</v>
      </c>
      <c r="I8">
        <v>30.5</v>
      </c>
      <c r="J8">
        <v>0.72</v>
      </c>
      <c r="K8">
        <v>0.3</v>
      </c>
      <c r="L8">
        <v>7.02</v>
      </c>
      <c r="M8">
        <v>93.2</v>
      </c>
      <c r="N8">
        <v>8.18</v>
      </c>
      <c r="O8">
        <v>-113</v>
      </c>
      <c r="Q8">
        <v>26.96</v>
      </c>
      <c r="S8">
        <v>9.93</v>
      </c>
      <c r="T8">
        <v>59.43</v>
      </c>
      <c r="U8">
        <v>0.2</v>
      </c>
      <c r="V8">
        <v>133.51</v>
      </c>
      <c r="W8">
        <v>182.03</v>
      </c>
      <c r="X8">
        <v>24.78</v>
      </c>
      <c r="Y8" s="4">
        <v>387338.0175576139</v>
      </c>
      <c r="Z8" s="4">
        <v>728473.83219849819</v>
      </c>
    </row>
    <row r="9" spans="1:26" x14ac:dyDescent="0.25">
      <c r="A9" s="1">
        <v>45204</v>
      </c>
      <c r="B9" s="6" t="str">
        <f t="shared" si="0"/>
        <v>10-05</v>
      </c>
      <c r="C9" s="1" t="str">
        <f t="shared" si="1"/>
        <v>PSP</v>
      </c>
      <c r="D9" s="2">
        <v>0.54097222222222219</v>
      </c>
      <c r="E9">
        <v>1</v>
      </c>
      <c r="F9" t="s">
        <v>29</v>
      </c>
      <c r="G9" s="5">
        <v>1.9655</v>
      </c>
      <c r="H9" s="5">
        <v>6.4878</v>
      </c>
      <c r="I9">
        <v>30.1</v>
      </c>
      <c r="J9">
        <v>0.57999999999999996</v>
      </c>
      <c r="K9">
        <v>0.2</v>
      </c>
      <c r="L9">
        <v>7.76</v>
      </c>
      <c r="M9">
        <v>102.4</v>
      </c>
      <c r="N9">
        <v>8.6300000000000008</v>
      </c>
      <c r="O9">
        <v>-119</v>
      </c>
      <c r="Q9">
        <v>51.06</v>
      </c>
      <c r="S9">
        <v>11.62</v>
      </c>
      <c r="T9">
        <v>83.54</v>
      </c>
      <c r="U9">
        <v>0.22</v>
      </c>
      <c r="V9">
        <v>157.77000000000001</v>
      </c>
      <c r="W9">
        <v>220.33</v>
      </c>
      <c r="X9">
        <v>21.2</v>
      </c>
      <c r="Y9" s="4">
        <v>385612.26229542762</v>
      </c>
      <c r="Z9" s="4">
        <v>717244.22352549795</v>
      </c>
    </row>
    <row r="10" spans="1:26" x14ac:dyDescent="0.25">
      <c r="A10" s="1">
        <v>45204</v>
      </c>
      <c r="B10" s="6" t="str">
        <f t="shared" si="0"/>
        <v>10-05</v>
      </c>
      <c r="C10" s="1" t="str">
        <f t="shared" si="1"/>
        <v>PSP</v>
      </c>
      <c r="D10" s="2">
        <v>0.55625000000000002</v>
      </c>
      <c r="E10">
        <v>1</v>
      </c>
      <c r="F10" t="s">
        <v>30</v>
      </c>
      <c r="G10" s="5">
        <v>1.9373</v>
      </c>
      <c r="H10" s="5">
        <v>6.4568000000000003</v>
      </c>
      <c r="I10">
        <v>29.8</v>
      </c>
      <c r="J10">
        <v>1.44</v>
      </c>
      <c r="K10">
        <v>0.7</v>
      </c>
      <c r="L10">
        <v>7.7</v>
      </c>
      <c r="M10">
        <v>101.2</v>
      </c>
      <c r="N10">
        <v>8.5500000000000007</v>
      </c>
      <c r="O10">
        <v>-106</v>
      </c>
      <c r="Q10">
        <v>46.48</v>
      </c>
      <c r="S10">
        <v>10.78</v>
      </c>
      <c r="T10">
        <v>79.16</v>
      </c>
      <c r="U10">
        <v>0.14000000000000001</v>
      </c>
      <c r="V10">
        <v>155.22</v>
      </c>
      <c r="W10">
        <v>221.61</v>
      </c>
      <c r="X10">
        <v>26.25</v>
      </c>
      <c r="Y10" s="4">
        <v>382486.59163122613</v>
      </c>
      <c r="Z10" s="4">
        <v>713823.2259921059</v>
      </c>
    </row>
    <row r="11" spans="1:26" x14ac:dyDescent="0.25">
      <c r="A11" s="1">
        <v>45204</v>
      </c>
      <c r="B11" s="6" t="str">
        <f t="shared" si="0"/>
        <v>10-05</v>
      </c>
      <c r="C11" s="1" t="str">
        <f t="shared" si="1"/>
        <v>PSP</v>
      </c>
      <c r="D11" s="2">
        <v>0.57013888888888886</v>
      </c>
      <c r="E11">
        <v>1</v>
      </c>
      <c r="F11" t="s">
        <v>31</v>
      </c>
      <c r="G11" s="5">
        <v>1.9348000000000001</v>
      </c>
      <c r="H11" s="5">
        <v>6.4222000000000001</v>
      </c>
      <c r="I11">
        <v>29.5</v>
      </c>
      <c r="J11">
        <v>2.09</v>
      </c>
      <c r="K11">
        <v>1.1000000000000001</v>
      </c>
      <c r="L11">
        <v>7</v>
      </c>
      <c r="M11">
        <v>91.5</v>
      </c>
      <c r="N11">
        <v>8.3000000000000007</v>
      </c>
      <c r="O11">
        <v>-101</v>
      </c>
      <c r="Q11">
        <v>42.2</v>
      </c>
      <c r="S11">
        <v>12.47</v>
      </c>
      <c r="T11">
        <v>124.09</v>
      </c>
      <c r="U11">
        <v>0.21</v>
      </c>
      <c r="V11">
        <v>176.92</v>
      </c>
      <c r="W11">
        <v>229.27</v>
      </c>
      <c r="X11">
        <v>24.04</v>
      </c>
      <c r="Y11" s="4">
        <v>382202.13294807624</v>
      </c>
      <c r="Z11" s="4">
        <v>709998.33191742201</v>
      </c>
    </row>
    <row r="12" spans="1:26" x14ac:dyDescent="0.25">
      <c r="A12" s="1">
        <v>45232</v>
      </c>
      <c r="B12" s="6" t="str">
        <f t="shared" si="0"/>
        <v>11-02</v>
      </c>
      <c r="C12" s="1" t="str">
        <f>IF(AND(B12&gt;="04-01", B12&lt;="07-01"), "GSP", IF(AND(B12&gt;="08-01", B12&lt;="09-01"), "PSS", IF(AND(B12&gt;="10-01", B12&lt;="11-01"), "PSP", "GSS")))</f>
        <v>GSS</v>
      </c>
      <c r="D12" s="2">
        <v>0.37916666666666665</v>
      </c>
      <c r="E12">
        <v>2</v>
      </c>
      <c r="F12" t="s">
        <v>22</v>
      </c>
      <c r="G12" s="5">
        <v>1.93618</v>
      </c>
      <c r="H12" s="5">
        <v>6.3917999999999999</v>
      </c>
      <c r="I12">
        <v>29.1</v>
      </c>
      <c r="J12">
        <v>0.11</v>
      </c>
      <c r="K12">
        <v>0.5</v>
      </c>
      <c r="L12">
        <v>6.48</v>
      </c>
      <c r="M12">
        <v>84.1</v>
      </c>
      <c r="N12">
        <v>7.8</v>
      </c>
      <c r="O12">
        <v>-87</v>
      </c>
      <c r="Q12">
        <v>72.34</v>
      </c>
      <c r="R12">
        <v>1.19</v>
      </c>
      <c r="S12">
        <v>6.82</v>
      </c>
      <c r="T12">
        <v>86.83</v>
      </c>
      <c r="V12">
        <v>183.31</v>
      </c>
      <c r="W12">
        <v>249.7</v>
      </c>
      <c r="X12">
        <v>24.01</v>
      </c>
      <c r="Y12" s="4">
        <v>382769.63003693346</v>
      </c>
      <c r="Z12" s="4">
        <v>706304.35337691102</v>
      </c>
    </row>
    <row r="13" spans="1:26" x14ac:dyDescent="0.25">
      <c r="A13" s="1">
        <v>45232</v>
      </c>
      <c r="B13" s="6" t="str">
        <f t="shared" si="0"/>
        <v>11-02</v>
      </c>
      <c r="C13" s="1" t="str">
        <f t="shared" si="1"/>
        <v>GSS</v>
      </c>
      <c r="D13" s="2">
        <v>0.40347222222222223</v>
      </c>
      <c r="E13">
        <v>2</v>
      </c>
      <c r="F13" t="s">
        <v>23</v>
      </c>
      <c r="G13" s="5">
        <v>1.9513</v>
      </c>
      <c r="H13" s="5">
        <v>6.4095000000000004</v>
      </c>
      <c r="I13">
        <v>29.2</v>
      </c>
      <c r="J13">
        <v>0.76</v>
      </c>
      <c r="K13">
        <v>0.3</v>
      </c>
      <c r="L13">
        <v>6.63</v>
      </c>
      <c r="M13">
        <v>87.2</v>
      </c>
      <c r="N13">
        <v>8.31</v>
      </c>
      <c r="O13">
        <v>-101</v>
      </c>
      <c r="Q13">
        <v>87.4</v>
      </c>
      <c r="R13">
        <v>4.22</v>
      </c>
      <c r="S13">
        <v>7.1</v>
      </c>
      <c r="T13">
        <v>58.33</v>
      </c>
      <c r="V13">
        <v>178.2</v>
      </c>
      <c r="W13">
        <v>261.19</v>
      </c>
      <c r="X13">
        <v>23.13</v>
      </c>
      <c r="Y13" s="4">
        <v>384024.1570784403</v>
      </c>
      <c r="Z13" s="4">
        <v>708590.42751502525</v>
      </c>
    </row>
    <row r="14" spans="1:26" x14ac:dyDescent="0.25">
      <c r="A14" s="1">
        <v>45232</v>
      </c>
      <c r="B14" s="6" t="str">
        <f t="shared" si="0"/>
        <v>11-02</v>
      </c>
      <c r="C14" s="1" t="str">
        <f t="shared" si="1"/>
        <v>GSS</v>
      </c>
      <c r="D14" s="2">
        <v>0.4284722222222222</v>
      </c>
      <c r="E14">
        <v>2</v>
      </c>
      <c r="F14" t="s">
        <v>24</v>
      </c>
      <c r="G14" s="5">
        <v>1.9669000000000001</v>
      </c>
      <c r="H14" s="5">
        <v>6.4546000000000001</v>
      </c>
      <c r="I14">
        <v>29.5</v>
      </c>
      <c r="J14">
        <v>0.28999999999999998</v>
      </c>
      <c r="K14">
        <v>0</v>
      </c>
      <c r="L14">
        <v>6.88</v>
      </c>
      <c r="M14">
        <v>89.8</v>
      </c>
      <c r="N14">
        <v>8.1999999999999993</v>
      </c>
      <c r="O14">
        <v>-84</v>
      </c>
      <c r="Q14">
        <v>49.64</v>
      </c>
      <c r="R14">
        <v>1.34</v>
      </c>
      <c r="S14">
        <v>6.82</v>
      </c>
      <c r="T14">
        <v>42.99</v>
      </c>
      <c r="V14">
        <v>146.28</v>
      </c>
      <c r="W14">
        <v>176.92</v>
      </c>
      <c r="X14">
        <v>15.75</v>
      </c>
      <c r="Y14" s="4">
        <v>385759.62074491731</v>
      </c>
      <c r="Z14" s="4">
        <v>713573.25678037247</v>
      </c>
    </row>
    <row r="15" spans="1:26" x14ac:dyDescent="0.25">
      <c r="A15" s="1">
        <v>45232</v>
      </c>
      <c r="B15" s="6" t="str">
        <f t="shared" si="0"/>
        <v>11-02</v>
      </c>
      <c r="C15" s="1" t="str">
        <f t="shared" si="1"/>
        <v>GSS</v>
      </c>
      <c r="D15" s="2">
        <v>0.44791666666666669</v>
      </c>
      <c r="E15">
        <v>2</v>
      </c>
      <c r="F15" t="s">
        <v>25</v>
      </c>
      <c r="G15" s="5">
        <v>1.9933000000000001</v>
      </c>
      <c r="H15" s="5">
        <v>6.5007000000000001</v>
      </c>
      <c r="I15">
        <v>30</v>
      </c>
      <c r="J15">
        <v>0.25</v>
      </c>
      <c r="K15">
        <v>0</v>
      </c>
      <c r="L15">
        <v>6.92</v>
      </c>
      <c r="M15">
        <v>91.4</v>
      </c>
      <c r="N15">
        <v>8.33</v>
      </c>
      <c r="O15">
        <v>-78</v>
      </c>
      <c r="Q15">
        <v>30.12</v>
      </c>
      <c r="R15">
        <v>2.2799999999999998</v>
      </c>
      <c r="S15">
        <v>4.84</v>
      </c>
      <c r="T15">
        <v>37.51</v>
      </c>
      <c r="V15">
        <v>138.62</v>
      </c>
      <c r="W15">
        <v>184.58</v>
      </c>
      <c r="X15">
        <v>14.19</v>
      </c>
      <c r="Y15" s="4">
        <v>388689.34009811806</v>
      </c>
      <c r="Z15" s="4">
        <v>718664.2720532401</v>
      </c>
    </row>
    <row r="16" spans="1:26" x14ac:dyDescent="0.25">
      <c r="A16" s="1">
        <v>45232</v>
      </c>
      <c r="B16" s="6" t="str">
        <f t="shared" si="0"/>
        <v>11-02</v>
      </c>
      <c r="C16" s="1" t="str">
        <f t="shared" si="1"/>
        <v>GSS</v>
      </c>
      <c r="D16" s="2">
        <v>0.46319444444444446</v>
      </c>
      <c r="E16">
        <v>2</v>
      </c>
      <c r="F16" t="s">
        <v>26</v>
      </c>
      <c r="G16" s="5">
        <v>1.984</v>
      </c>
      <c r="H16" s="5">
        <v>6.5294999999999996</v>
      </c>
      <c r="I16">
        <v>29.9</v>
      </c>
      <c r="J16">
        <v>0.3</v>
      </c>
      <c r="K16">
        <v>0.1</v>
      </c>
      <c r="L16">
        <v>6.83</v>
      </c>
      <c r="M16">
        <v>89.1</v>
      </c>
      <c r="N16">
        <v>8.23</v>
      </c>
      <c r="O16">
        <v>-86</v>
      </c>
      <c r="Q16">
        <v>25.82</v>
      </c>
      <c r="R16">
        <v>4.2699999999999996</v>
      </c>
      <c r="S16">
        <v>5.12</v>
      </c>
      <c r="T16">
        <v>18.88</v>
      </c>
      <c r="V16">
        <v>136.06</v>
      </c>
      <c r="W16">
        <v>175.65</v>
      </c>
      <c r="X16">
        <v>18.350000000000001</v>
      </c>
      <c r="Y16" s="4">
        <v>387667.34262385243</v>
      </c>
      <c r="Z16" s="4">
        <v>721850.49534728227</v>
      </c>
    </row>
    <row r="17" spans="1:26" x14ac:dyDescent="0.25">
      <c r="A17" s="1">
        <v>45232</v>
      </c>
      <c r="B17" s="6" t="str">
        <f t="shared" si="0"/>
        <v>11-02</v>
      </c>
      <c r="C17" s="1" t="str">
        <f t="shared" si="1"/>
        <v>GSS</v>
      </c>
      <c r="D17" s="2">
        <v>0.47430555555555554</v>
      </c>
      <c r="E17">
        <v>2</v>
      </c>
      <c r="F17" t="s">
        <v>27</v>
      </c>
      <c r="G17" s="5">
        <v>1.9822</v>
      </c>
      <c r="H17" s="5">
        <v>6.5602</v>
      </c>
      <c r="I17">
        <v>30</v>
      </c>
      <c r="J17">
        <v>0.21</v>
      </c>
      <c r="K17">
        <v>0</v>
      </c>
      <c r="L17">
        <v>6.28</v>
      </c>
      <c r="M17">
        <v>83.1</v>
      </c>
      <c r="N17">
        <v>7.97</v>
      </c>
      <c r="O17">
        <v>-76</v>
      </c>
      <c r="Q17">
        <v>16.260000000000002</v>
      </c>
      <c r="R17">
        <v>4.2699999999999996</v>
      </c>
      <c r="S17">
        <v>3.14</v>
      </c>
      <c r="T17">
        <v>26.55</v>
      </c>
      <c r="V17">
        <v>105.42</v>
      </c>
      <c r="W17">
        <v>125.85</v>
      </c>
      <c r="X17">
        <v>20.89</v>
      </c>
      <c r="Y17" s="4">
        <v>387475.18079440482</v>
      </c>
      <c r="Z17" s="4">
        <v>725245.13735641493</v>
      </c>
    </row>
    <row r="18" spans="1:26" x14ac:dyDescent="0.25">
      <c r="A18" s="1">
        <v>45232</v>
      </c>
      <c r="B18" s="6" t="str">
        <f t="shared" si="0"/>
        <v>11-02</v>
      </c>
      <c r="C18" s="1" t="str">
        <f t="shared" si="1"/>
        <v>GSS</v>
      </c>
      <c r="D18" s="2">
        <v>0.4909722222222222</v>
      </c>
      <c r="E18">
        <v>2</v>
      </c>
      <c r="F18" t="s">
        <v>28</v>
      </c>
      <c r="G18" s="5">
        <v>1.9809000000000001</v>
      </c>
      <c r="H18" s="5">
        <v>6.5894000000000004</v>
      </c>
      <c r="I18">
        <v>30.1</v>
      </c>
      <c r="J18">
        <v>0.17</v>
      </c>
      <c r="K18">
        <v>0</v>
      </c>
      <c r="L18">
        <v>4.41</v>
      </c>
      <c r="M18">
        <v>57.3</v>
      </c>
      <c r="N18">
        <v>7.61</v>
      </c>
      <c r="O18">
        <v>-70</v>
      </c>
      <c r="Q18">
        <v>5.52</v>
      </c>
      <c r="R18">
        <v>3.2</v>
      </c>
      <c r="S18">
        <v>2.0099999999999998</v>
      </c>
      <c r="T18">
        <v>21.07</v>
      </c>
      <c r="V18">
        <v>92.65</v>
      </c>
      <c r="W18">
        <v>137.34</v>
      </c>
      <c r="X18">
        <v>17.93</v>
      </c>
      <c r="Y18" s="4">
        <v>387338.0175576139</v>
      </c>
      <c r="Z18" s="4">
        <v>728473.83219849819</v>
      </c>
    </row>
    <row r="19" spans="1:26" x14ac:dyDescent="0.25">
      <c r="A19" s="1">
        <v>45232</v>
      </c>
      <c r="B19" s="6" t="str">
        <f t="shared" si="0"/>
        <v>11-02</v>
      </c>
      <c r="C19" s="1" t="str">
        <f t="shared" si="1"/>
        <v>GSS</v>
      </c>
      <c r="D19" s="2">
        <v>0.55069444444444449</v>
      </c>
      <c r="E19">
        <v>2</v>
      </c>
      <c r="F19" t="s">
        <v>29</v>
      </c>
      <c r="G19" s="5">
        <v>1.9655</v>
      </c>
      <c r="H19" s="5">
        <v>6.4878</v>
      </c>
      <c r="I19">
        <v>31</v>
      </c>
      <c r="J19">
        <v>0.49</v>
      </c>
      <c r="K19">
        <v>0.2</v>
      </c>
      <c r="L19">
        <v>7.7</v>
      </c>
      <c r="M19">
        <v>103.2</v>
      </c>
      <c r="N19">
        <v>8.48</v>
      </c>
      <c r="O19">
        <v>-117</v>
      </c>
      <c r="Q19">
        <v>57.42</v>
      </c>
      <c r="R19">
        <v>5.34</v>
      </c>
      <c r="S19">
        <v>6.82</v>
      </c>
      <c r="T19">
        <v>46.28</v>
      </c>
      <c r="V19">
        <v>151.38999999999999</v>
      </c>
      <c r="W19">
        <v>213.95</v>
      </c>
      <c r="X19">
        <v>26.71</v>
      </c>
      <c r="Y19" s="4">
        <v>385612.26229542762</v>
      </c>
      <c r="Z19" s="4">
        <v>717244.22352549795</v>
      </c>
    </row>
    <row r="20" spans="1:26" x14ac:dyDescent="0.25">
      <c r="A20" s="1">
        <v>45232</v>
      </c>
      <c r="B20" s="6" t="str">
        <f t="shared" si="0"/>
        <v>11-02</v>
      </c>
      <c r="C20" s="1" t="str">
        <f t="shared" si="1"/>
        <v>GSS</v>
      </c>
      <c r="D20" s="2">
        <v>0.56527777777777777</v>
      </c>
      <c r="E20">
        <v>2</v>
      </c>
      <c r="F20" t="s">
        <v>30</v>
      </c>
      <c r="G20" s="5">
        <v>1.9373</v>
      </c>
      <c r="H20" s="5">
        <v>6.4568000000000003</v>
      </c>
      <c r="I20">
        <v>30.3</v>
      </c>
      <c r="J20">
        <v>0.93</v>
      </c>
      <c r="K20">
        <v>0.4</v>
      </c>
      <c r="L20">
        <v>7.31</v>
      </c>
      <c r="M20">
        <v>97.2</v>
      </c>
      <c r="N20">
        <v>8.5399999999999991</v>
      </c>
      <c r="O20">
        <v>-127</v>
      </c>
      <c r="Q20">
        <v>64.72</v>
      </c>
      <c r="R20">
        <v>6.41</v>
      </c>
      <c r="S20">
        <v>6.53</v>
      </c>
      <c r="T20">
        <v>34.22</v>
      </c>
      <c r="V20">
        <v>175.65</v>
      </c>
      <c r="W20">
        <v>235.65</v>
      </c>
      <c r="X20">
        <v>29.7</v>
      </c>
      <c r="Y20" s="4">
        <v>382486.59163122613</v>
      </c>
      <c r="Z20" s="4">
        <v>713823.2259921059</v>
      </c>
    </row>
    <row r="21" spans="1:26" x14ac:dyDescent="0.25">
      <c r="A21" s="1">
        <v>45232</v>
      </c>
      <c r="B21" s="6" t="str">
        <f t="shared" si="0"/>
        <v>11-02</v>
      </c>
      <c r="C21" s="1" t="str">
        <f t="shared" si="1"/>
        <v>GSS</v>
      </c>
      <c r="D21" s="2">
        <v>0.58124999999999993</v>
      </c>
      <c r="E21">
        <v>2</v>
      </c>
      <c r="F21" t="s">
        <v>31</v>
      </c>
      <c r="G21" s="5">
        <v>1.9348000000000001</v>
      </c>
      <c r="H21" s="5">
        <v>6.4222000000000001</v>
      </c>
      <c r="I21">
        <v>30.6</v>
      </c>
      <c r="J21">
        <v>0.15</v>
      </c>
      <c r="K21">
        <v>0.7</v>
      </c>
      <c r="L21">
        <v>5.58</v>
      </c>
      <c r="M21">
        <v>72.5</v>
      </c>
      <c r="N21">
        <v>8.19</v>
      </c>
      <c r="O21">
        <v>-136</v>
      </c>
      <c r="Q21">
        <v>48.7</v>
      </c>
      <c r="R21">
        <v>5.34</v>
      </c>
      <c r="S21">
        <v>7.1</v>
      </c>
      <c r="T21">
        <v>62.72</v>
      </c>
      <c r="V21">
        <v>176.92</v>
      </c>
      <c r="W21">
        <v>222.89</v>
      </c>
      <c r="X21">
        <v>27.1</v>
      </c>
      <c r="Y21" s="4">
        <v>382202.13294807624</v>
      </c>
      <c r="Z21" s="4">
        <v>709998.33191742201</v>
      </c>
    </row>
    <row r="22" spans="1:26" x14ac:dyDescent="0.25">
      <c r="A22" s="1">
        <v>45266</v>
      </c>
      <c r="B22" s="6" t="str">
        <f t="shared" si="0"/>
        <v>12-06</v>
      </c>
      <c r="C22" s="1" t="str">
        <f t="shared" si="1"/>
        <v>GSS</v>
      </c>
      <c r="D22" s="2">
        <v>0.37083333333333335</v>
      </c>
      <c r="E22">
        <v>3</v>
      </c>
      <c r="F22" t="s">
        <v>22</v>
      </c>
      <c r="G22" s="5">
        <v>1.93618</v>
      </c>
      <c r="H22" s="5">
        <v>6.3917999999999999</v>
      </c>
      <c r="I22">
        <v>29.1</v>
      </c>
      <c r="J22">
        <v>0.9</v>
      </c>
      <c r="K22">
        <v>0.4</v>
      </c>
      <c r="L22">
        <v>5.99</v>
      </c>
      <c r="M22">
        <v>77.7</v>
      </c>
      <c r="N22">
        <v>7.98</v>
      </c>
      <c r="O22">
        <v>-48.7</v>
      </c>
      <c r="P22">
        <v>23</v>
      </c>
      <c r="Q22">
        <v>126</v>
      </c>
      <c r="R22">
        <v>1.78</v>
      </c>
      <c r="S22">
        <v>10.49</v>
      </c>
      <c r="T22">
        <v>132.86000000000001</v>
      </c>
      <c r="U22">
        <v>0.2</v>
      </c>
      <c r="V22">
        <v>111.81</v>
      </c>
      <c r="W22">
        <v>317.37</v>
      </c>
      <c r="X22">
        <v>17.04</v>
      </c>
      <c r="Y22" s="4">
        <v>382769.63003693346</v>
      </c>
      <c r="Z22" s="4">
        <v>706304.35337691102</v>
      </c>
    </row>
    <row r="23" spans="1:26" x14ac:dyDescent="0.25">
      <c r="A23" s="1">
        <v>45266</v>
      </c>
      <c r="B23" s="6" t="str">
        <f t="shared" si="0"/>
        <v>12-06</v>
      </c>
      <c r="C23" s="1" t="str">
        <f t="shared" si="1"/>
        <v>GSS</v>
      </c>
      <c r="D23" s="2">
        <v>0.38263888888888892</v>
      </c>
      <c r="E23">
        <v>3</v>
      </c>
      <c r="F23" t="s">
        <v>23</v>
      </c>
      <c r="G23" s="5">
        <v>1.9513</v>
      </c>
      <c r="H23" s="5">
        <v>6.4095000000000004</v>
      </c>
      <c r="I23">
        <v>29.6</v>
      </c>
      <c r="J23">
        <v>0.65</v>
      </c>
      <c r="K23">
        <v>0.2</v>
      </c>
      <c r="L23">
        <v>6.94</v>
      </c>
      <c r="M23">
        <v>90.8</v>
      </c>
      <c r="N23">
        <v>8.23</v>
      </c>
      <c r="O23">
        <v>-62</v>
      </c>
      <c r="P23">
        <v>26</v>
      </c>
      <c r="Q23">
        <v>126.2</v>
      </c>
      <c r="R23">
        <v>7.12</v>
      </c>
      <c r="S23">
        <v>9.36</v>
      </c>
      <c r="T23">
        <v>112.04</v>
      </c>
      <c r="U23">
        <v>0.19</v>
      </c>
      <c r="V23">
        <v>157.77000000000001</v>
      </c>
      <c r="W23">
        <v>290.56</v>
      </c>
      <c r="X23">
        <v>18.02</v>
      </c>
      <c r="Y23" s="4">
        <v>384024.1570784403</v>
      </c>
      <c r="Z23" s="4">
        <v>708590.42751502525</v>
      </c>
    </row>
    <row r="24" spans="1:26" x14ac:dyDescent="0.25">
      <c r="A24" s="1">
        <v>45266</v>
      </c>
      <c r="B24" s="6" t="str">
        <f t="shared" si="0"/>
        <v>12-06</v>
      </c>
      <c r="C24" s="1" t="str">
        <f t="shared" si="1"/>
        <v>GSS</v>
      </c>
      <c r="D24" s="2">
        <v>0.40277777777777773</v>
      </c>
      <c r="E24">
        <v>3</v>
      </c>
      <c r="F24" t="s">
        <v>24</v>
      </c>
      <c r="G24" s="5">
        <v>1.9669000000000001</v>
      </c>
      <c r="H24" s="5">
        <v>6.4546000000000001</v>
      </c>
      <c r="I24">
        <v>30.1</v>
      </c>
      <c r="J24">
        <v>0.52</v>
      </c>
      <c r="K24">
        <v>0.2</v>
      </c>
      <c r="L24">
        <v>6.81</v>
      </c>
      <c r="M24">
        <v>90.1</v>
      </c>
      <c r="N24">
        <v>8.17</v>
      </c>
      <c r="O24">
        <v>-58.6</v>
      </c>
      <c r="P24">
        <v>28</v>
      </c>
      <c r="Q24">
        <v>95.6</v>
      </c>
      <c r="R24">
        <v>5.34</v>
      </c>
      <c r="S24">
        <v>10.49</v>
      </c>
      <c r="T24">
        <v>85.73</v>
      </c>
      <c r="U24">
        <v>0.19</v>
      </c>
      <c r="V24">
        <v>137.34</v>
      </c>
      <c r="W24">
        <v>291.83</v>
      </c>
      <c r="X24">
        <v>15.97</v>
      </c>
      <c r="Y24" s="4">
        <v>385759.62074491731</v>
      </c>
      <c r="Z24" s="4">
        <v>713573.25678037247</v>
      </c>
    </row>
    <row r="25" spans="1:26" x14ac:dyDescent="0.25">
      <c r="A25" s="1">
        <v>45266</v>
      </c>
      <c r="B25" s="6" t="str">
        <f t="shared" si="0"/>
        <v>12-06</v>
      </c>
      <c r="C25" s="1" t="str">
        <f t="shared" si="1"/>
        <v>GSS</v>
      </c>
      <c r="D25" s="2">
        <v>0.4236111111111111</v>
      </c>
      <c r="E25">
        <v>3</v>
      </c>
      <c r="F25" t="s">
        <v>25</v>
      </c>
      <c r="G25" s="5">
        <v>1.9933000000000001</v>
      </c>
      <c r="H25" s="5">
        <v>6.5007000000000001</v>
      </c>
      <c r="I25">
        <v>30.7</v>
      </c>
      <c r="J25">
        <v>0.46</v>
      </c>
      <c r="K25">
        <v>0.1</v>
      </c>
      <c r="L25">
        <v>6.98</v>
      </c>
      <c r="M25">
        <v>93</v>
      </c>
      <c r="N25">
        <v>8.1999999999999993</v>
      </c>
      <c r="O25">
        <v>-60.8</v>
      </c>
      <c r="P25">
        <v>31</v>
      </c>
      <c r="Q25">
        <v>78.459999999999994</v>
      </c>
      <c r="R25">
        <v>1.78</v>
      </c>
      <c r="S25">
        <v>8.23</v>
      </c>
      <c r="T25">
        <v>82.44</v>
      </c>
      <c r="U25">
        <v>0.16</v>
      </c>
      <c r="V25">
        <v>141.16999999999999</v>
      </c>
      <c r="W25">
        <v>281.62</v>
      </c>
      <c r="X25">
        <v>13.98</v>
      </c>
      <c r="Y25" s="4">
        <v>388689.34009811806</v>
      </c>
      <c r="Z25" s="4">
        <v>718664.2720532401</v>
      </c>
    </row>
    <row r="26" spans="1:26" x14ac:dyDescent="0.25">
      <c r="A26" s="1">
        <v>45266</v>
      </c>
      <c r="B26" s="6" t="str">
        <f t="shared" si="0"/>
        <v>12-06</v>
      </c>
      <c r="C26" s="1" t="str">
        <f t="shared" si="1"/>
        <v>GSS</v>
      </c>
      <c r="D26" s="2">
        <v>0.44444444444444442</v>
      </c>
      <c r="E26">
        <v>3</v>
      </c>
      <c r="F26" t="s">
        <v>26</v>
      </c>
      <c r="G26" s="5">
        <v>1.984</v>
      </c>
      <c r="H26" s="5">
        <v>6.5294999999999996</v>
      </c>
      <c r="I26">
        <v>30.7</v>
      </c>
      <c r="J26">
        <v>0.4</v>
      </c>
      <c r="K26">
        <v>0.1</v>
      </c>
      <c r="L26">
        <v>7.18</v>
      </c>
      <c r="M26">
        <v>95.5</v>
      </c>
      <c r="N26">
        <v>8.2200000000000006</v>
      </c>
      <c r="O26">
        <v>-61.8</v>
      </c>
      <c r="P26">
        <v>31</v>
      </c>
      <c r="Q26">
        <v>62.56</v>
      </c>
      <c r="R26">
        <v>5.34</v>
      </c>
      <c r="S26">
        <v>6.82</v>
      </c>
      <c r="T26">
        <v>73.680000000000007</v>
      </c>
      <c r="U26">
        <v>0.2</v>
      </c>
      <c r="V26">
        <v>129.68</v>
      </c>
      <c r="W26">
        <v>266.3</v>
      </c>
      <c r="X26">
        <v>16.03</v>
      </c>
      <c r="Y26" s="4">
        <v>387667.34262385243</v>
      </c>
      <c r="Z26" s="4">
        <v>721850.49534728227</v>
      </c>
    </row>
    <row r="27" spans="1:26" x14ac:dyDescent="0.25">
      <c r="A27" s="1">
        <v>45266</v>
      </c>
      <c r="B27" s="6" t="str">
        <f t="shared" si="0"/>
        <v>12-06</v>
      </c>
      <c r="C27" s="1" t="str">
        <f t="shared" si="1"/>
        <v>GSS</v>
      </c>
      <c r="D27" s="2">
        <v>0.4604166666666667</v>
      </c>
      <c r="E27">
        <v>3</v>
      </c>
      <c r="F27" t="s">
        <v>27</v>
      </c>
      <c r="G27" s="5">
        <v>1.9822</v>
      </c>
      <c r="H27" s="5">
        <v>6.5602</v>
      </c>
      <c r="I27">
        <v>30.7</v>
      </c>
      <c r="J27">
        <v>0.36</v>
      </c>
      <c r="K27">
        <v>0.1</v>
      </c>
      <c r="L27">
        <v>7.27</v>
      </c>
      <c r="M27">
        <v>96.9</v>
      </c>
      <c r="N27">
        <v>8.2799999999999994</v>
      </c>
      <c r="O27">
        <v>-64</v>
      </c>
      <c r="P27">
        <v>31</v>
      </c>
      <c r="Q27">
        <v>55</v>
      </c>
      <c r="R27">
        <v>10.68</v>
      </c>
      <c r="S27">
        <v>6.82</v>
      </c>
      <c r="T27">
        <v>101.08</v>
      </c>
      <c r="U27">
        <v>0.23</v>
      </c>
      <c r="V27">
        <v>122.02</v>
      </c>
      <c r="W27">
        <v>256.08</v>
      </c>
      <c r="X27">
        <v>20.59</v>
      </c>
      <c r="Y27" s="4">
        <v>387475.18079440482</v>
      </c>
      <c r="Z27" s="4">
        <v>725245.13735641493</v>
      </c>
    </row>
    <row r="28" spans="1:26" x14ac:dyDescent="0.25">
      <c r="A28" s="1">
        <v>45266</v>
      </c>
      <c r="B28" s="6" t="str">
        <f t="shared" si="0"/>
        <v>12-06</v>
      </c>
      <c r="C28" s="1" t="str">
        <f t="shared" si="1"/>
        <v>GSS</v>
      </c>
      <c r="D28" s="2">
        <v>0.47013888888888888</v>
      </c>
      <c r="E28">
        <v>3</v>
      </c>
      <c r="F28" t="s">
        <v>28</v>
      </c>
      <c r="G28" s="5">
        <v>1.9809000000000001</v>
      </c>
      <c r="H28" s="5">
        <v>6.5894000000000004</v>
      </c>
      <c r="I28">
        <v>31.2</v>
      </c>
      <c r="J28">
        <v>0.39</v>
      </c>
      <c r="K28">
        <v>0.1</v>
      </c>
      <c r="L28">
        <v>6.77</v>
      </c>
      <c r="M28">
        <v>91.7</v>
      </c>
      <c r="N28">
        <v>8.17</v>
      </c>
      <c r="O28">
        <v>-59.1</v>
      </c>
      <c r="P28">
        <v>30</v>
      </c>
      <c r="Q28">
        <v>46.78</v>
      </c>
      <c r="R28">
        <v>16.02</v>
      </c>
      <c r="S28">
        <v>7.95</v>
      </c>
      <c r="T28">
        <v>75.87</v>
      </c>
      <c r="U28">
        <v>0.18</v>
      </c>
      <c r="V28">
        <v>114.36</v>
      </c>
      <c r="W28">
        <v>224.16</v>
      </c>
      <c r="X28">
        <v>14.41</v>
      </c>
      <c r="Y28" s="4">
        <v>387338.0175576139</v>
      </c>
      <c r="Z28" s="4">
        <v>728473.83219849819</v>
      </c>
    </row>
    <row r="29" spans="1:26" x14ac:dyDescent="0.25">
      <c r="A29" s="1">
        <v>45266</v>
      </c>
      <c r="B29" s="6" t="str">
        <f t="shared" si="0"/>
        <v>12-06</v>
      </c>
      <c r="C29" s="1" t="str">
        <f t="shared" si="1"/>
        <v>GSS</v>
      </c>
      <c r="D29" s="2">
        <v>0.53055555555555556</v>
      </c>
      <c r="E29">
        <v>3</v>
      </c>
      <c r="F29" t="s">
        <v>29</v>
      </c>
      <c r="G29" s="5">
        <v>1.9655</v>
      </c>
      <c r="H29" s="5">
        <v>6.4878</v>
      </c>
      <c r="I29">
        <v>31.9</v>
      </c>
      <c r="J29">
        <v>0.55000000000000004</v>
      </c>
      <c r="K29">
        <v>0.2</v>
      </c>
      <c r="L29">
        <v>6.49</v>
      </c>
      <c r="M29">
        <v>101.3</v>
      </c>
      <c r="N29">
        <v>8.2100000000000009</v>
      </c>
      <c r="O29">
        <v>-62.4</v>
      </c>
      <c r="P29">
        <v>23</v>
      </c>
      <c r="Q29">
        <v>119.4</v>
      </c>
      <c r="R29">
        <v>8.01</v>
      </c>
      <c r="S29">
        <v>8.51</v>
      </c>
      <c r="T29">
        <v>78.06</v>
      </c>
      <c r="U29">
        <v>0.17</v>
      </c>
      <c r="V29">
        <v>153.94</v>
      </c>
      <c r="W29">
        <v>299.49</v>
      </c>
      <c r="X29">
        <v>15.08</v>
      </c>
      <c r="Y29" s="4">
        <v>385612.26229542762</v>
      </c>
      <c r="Z29" s="4">
        <v>717244.22352549795</v>
      </c>
    </row>
    <row r="30" spans="1:26" x14ac:dyDescent="0.25">
      <c r="A30" s="1">
        <v>45266</v>
      </c>
      <c r="B30" s="6" t="str">
        <f t="shared" si="0"/>
        <v>12-06</v>
      </c>
      <c r="C30" s="1" t="str">
        <f t="shared" si="1"/>
        <v>GSS</v>
      </c>
      <c r="D30" s="2">
        <v>0.54513888888888895</v>
      </c>
      <c r="E30">
        <v>3</v>
      </c>
      <c r="F30" t="s">
        <v>30</v>
      </c>
      <c r="G30" s="5">
        <v>1.9373</v>
      </c>
      <c r="H30" s="5">
        <v>6.4568000000000003</v>
      </c>
      <c r="I30">
        <v>30.8</v>
      </c>
      <c r="J30">
        <v>0.56999999999999995</v>
      </c>
      <c r="K30">
        <v>0.2</v>
      </c>
      <c r="L30">
        <v>7.19</v>
      </c>
      <c r="M30">
        <v>95.9</v>
      </c>
      <c r="N30">
        <v>8.11</v>
      </c>
      <c r="O30">
        <v>-55.8</v>
      </c>
      <c r="P30">
        <v>22</v>
      </c>
      <c r="Q30">
        <v>129</v>
      </c>
      <c r="R30">
        <v>8.01</v>
      </c>
      <c r="S30">
        <v>9.36</v>
      </c>
      <c r="T30">
        <v>81.349999999999994</v>
      </c>
      <c r="U30">
        <v>0.16</v>
      </c>
      <c r="V30">
        <v>141.16999999999999</v>
      </c>
      <c r="W30">
        <v>363.33</v>
      </c>
      <c r="X30">
        <v>12.42</v>
      </c>
      <c r="Y30" s="4">
        <v>382486.59163122613</v>
      </c>
      <c r="Z30" s="4">
        <v>713823.2259921059</v>
      </c>
    </row>
    <row r="31" spans="1:26" x14ac:dyDescent="0.25">
      <c r="A31" s="1">
        <v>45266</v>
      </c>
      <c r="B31" s="6" t="str">
        <f t="shared" si="0"/>
        <v>12-06</v>
      </c>
      <c r="C31" s="1" t="str">
        <f t="shared" si="1"/>
        <v>GSS</v>
      </c>
      <c r="D31" s="2">
        <v>0.55694444444444446</v>
      </c>
      <c r="E31">
        <v>3</v>
      </c>
      <c r="F31" t="s">
        <v>31</v>
      </c>
      <c r="G31" s="5">
        <v>1.9348000000000001</v>
      </c>
      <c r="H31" s="5">
        <v>6.4222000000000001</v>
      </c>
      <c r="I31">
        <v>32.200000000000003</v>
      </c>
      <c r="J31">
        <v>0.17</v>
      </c>
      <c r="K31">
        <v>0.9</v>
      </c>
      <c r="L31">
        <v>7.25</v>
      </c>
      <c r="M31">
        <v>100.3</v>
      </c>
      <c r="N31">
        <v>8.15</v>
      </c>
      <c r="O31">
        <v>-57.9</v>
      </c>
      <c r="P31">
        <v>25</v>
      </c>
      <c r="Q31">
        <v>56.2</v>
      </c>
      <c r="R31">
        <v>2.67</v>
      </c>
      <c r="S31">
        <v>4.84</v>
      </c>
      <c r="T31">
        <v>84.64</v>
      </c>
      <c r="U31">
        <v>0.25</v>
      </c>
      <c r="V31">
        <v>146.28</v>
      </c>
      <c r="W31">
        <v>277.79000000000002</v>
      </c>
      <c r="X31">
        <v>28.02</v>
      </c>
      <c r="Y31" s="4">
        <v>382202.13294807624</v>
      </c>
      <c r="Z31" s="4">
        <v>709998.33191742201</v>
      </c>
    </row>
    <row r="32" spans="1:26" x14ac:dyDescent="0.25">
      <c r="A32" s="1">
        <v>45309</v>
      </c>
      <c r="B32" s="6" t="str">
        <f t="shared" si="0"/>
        <v>01-18</v>
      </c>
      <c r="C32" s="1" t="str">
        <f t="shared" si="1"/>
        <v>GSS</v>
      </c>
      <c r="D32" s="2">
        <v>0.38750000000000001</v>
      </c>
      <c r="E32">
        <v>4</v>
      </c>
      <c r="F32" t="s">
        <v>22</v>
      </c>
      <c r="G32" s="5">
        <v>1.93618</v>
      </c>
      <c r="H32" s="5">
        <v>6.3917999999999999</v>
      </c>
      <c r="I32">
        <v>29.1</v>
      </c>
      <c r="J32">
        <v>14.18</v>
      </c>
      <c r="K32">
        <v>3.2</v>
      </c>
      <c r="L32">
        <v>6.87</v>
      </c>
      <c r="M32">
        <v>89.1</v>
      </c>
      <c r="N32">
        <v>7.91</v>
      </c>
      <c r="O32">
        <v>-49.7</v>
      </c>
      <c r="P32">
        <v>19</v>
      </c>
      <c r="Q32">
        <v>90.72</v>
      </c>
      <c r="R32">
        <v>2.67</v>
      </c>
      <c r="S32">
        <v>1.73</v>
      </c>
      <c r="T32">
        <v>40.799999999999997</v>
      </c>
      <c r="V32">
        <v>115.64</v>
      </c>
      <c r="W32">
        <v>156.49</v>
      </c>
      <c r="X32">
        <v>29.21</v>
      </c>
      <c r="Y32" s="4">
        <v>382769.63003693346</v>
      </c>
      <c r="Z32" s="4">
        <v>706304.35337691102</v>
      </c>
    </row>
    <row r="33" spans="1:26" x14ac:dyDescent="0.25">
      <c r="A33" s="1">
        <v>45309</v>
      </c>
      <c r="B33" s="6" t="str">
        <f t="shared" si="0"/>
        <v>01-18</v>
      </c>
      <c r="C33" s="1" t="str">
        <f t="shared" si="1"/>
        <v>GSS</v>
      </c>
      <c r="D33" s="2">
        <v>0.4055555555555555</v>
      </c>
      <c r="E33">
        <v>4</v>
      </c>
      <c r="F33" t="s">
        <v>23</v>
      </c>
      <c r="G33" s="5">
        <v>1.9513</v>
      </c>
      <c r="H33" s="5">
        <v>6.4095000000000004</v>
      </c>
      <c r="I33">
        <v>29</v>
      </c>
      <c r="J33">
        <v>6.76</v>
      </c>
      <c r="K33">
        <v>3.7</v>
      </c>
      <c r="L33">
        <v>7.31</v>
      </c>
      <c r="M33">
        <v>94.5</v>
      </c>
      <c r="N33">
        <v>8.2899999999999991</v>
      </c>
      <c r="O33">
        <v>-64.7</v>
      </c>
      <c r="P33">
        <v>106</v>
      </c>
      <c r="Q33">
        <v>7.45</v>
      </c>
      <c r="R33">
        <v>1.9</v>
      </c>
      <c r="S33">
        <v>2.58</v>
      </c>
      <c r="T33">
        <v>19.97</v>
      </c>
      <c r="V33">
        <v>13.49</v>
      </c>
      <c r="W33">
        <v>258.64</v>
      </c>
      <c r="X33">
        <v>32.299999999999997</v>
      </c>
      <c r="Y33" s="4">
        <v>384024.1570784403</v>
      </c>
      <c r="Z33" s="4">
        <v>708590.42751502525</v>
      </c>
    </row>
    <row r="34" spans="1:26" x14ac:dyDescent="0.25">
      <c r="A34" s="1">
        <v>45309</v>
      </c>
      <c r="B34" s="6" t="str">
        <f t="shared" si="0"/>
        <v>01-18</v>
      </c>
      <c r="C34" s="1" t="str">
        <f t="shared" si="1"/>
        <v>GSS</v>
      </c>
      <c r="D34" s="2">
        <v>0.4284722222222222</v>
      </c>
      <c r="E34">
        <v>4</v>
      </c>
      <c r="F34" t="s">
        <v>24</v>
      </c>
      <c r="G34" s="5">
        <v>1.9669000000000001</v>
      </c>
      <c r="H34" s="5">
        <v>6.4546000000000001</v>
      </c>
      <c r="I34">
        <v>29.3</v>
      </c>
      <c r="J34">
        <v>2.02</v>
      </c>
      <c r="K34">
        <v>1</v>
      </c>
      <c r="L34">
        <v>7.2</v>
      </c>
      <c r="M34">
        <v>93.6</v>
      </c>
      <c r="N34">
        <v>8.41</v>
      </c>
      <c r="O34">
        <v>-71.3</v>
      </c>
      <c r="P34">
        <v>62</v>
      </c>
      <c r="Q34">
        <v>15.37</v>
      </c>
      <c r="R34">
        <v>2.67</v>
      </c>
      <c r="S34">
        <v>1.73</v>
      </c>
      <c r="T34">
        <v>34.22</v>
      </c>
      <c r="V34">
        <v>182.03</v>
      </c>
      <c r="W34">
        <v>242.04</v>
      </c>
      <c r="X34">
        <v>31.87</v>
      </c>
      <c r="Y34" s="4">
        <v>385759.62074491731</v>
      </c>
      <c r="Z34" s="4">
        <v>713573.25678037247</v>
      </c>
    </row>
    <row r="35" spans="1:26" x14ac:dyDescent="0.25">
      <c r="A35" s="1">
        <v>45309</v>
      </c>
      <c r="B35" s="6" t="str">
        <f t="shared" si="0"/>
        <v>01-18</v>
      </c>
      <c r="C35" s="1" t="str">
        <f t="shared" si="1"/>
        <v>GSS</v>
      </c>
      <c r="D35" s="2">
        <v>0.44791666666666669</v>
      </c>
      <c r="E35">
        <v>4</v>
      </c>
      <c r="F35" t="s">
        <v>25</v>
      </c>
      <c r="G35" s="5">
        <v>1.9933000000000001</v>
      </c>
      <c r="H35" s="5">
        <v>6.5007000000000001</v>
      </c>
      <c r="I35">
        <v>29.6</v>
      </c>
      <c r="J35">
        <v>0.18</v>
      </c>
      <c r="K35">
        <v>0.9</v>
      </c>
      <c r="L35">
        <v>7.19</v>
      </c>
      <c r="M35">
        <v>93.8</v>
      </c>
      <c r="N35">
        <v>8.3800000000000008</v>
      </c>
      <c r="O35">
        <v>-69.8</v>
      </c>
      <c r="P35">
        <v>64</v>
      </c>
      <c r="Q35">
        <v>14.44</v>
      </c>
      <c r="R35">
        <v>4.45</v>
      </c>
      <c r="S35">
        <v>2.29</v>
      </c>
      <c r="T35">
        <v>39.700000000000003</v>
      </c>
      <c r="V35">
        <v>183.31</v>
      </c>
      <c r="W35">
        <v>258.64</v>
      </c>
      <c r="X35">
        <v>31.08</v>
      </c>
      <c r="Y35" s="4">
        <v>388689.34009811806</v>
      </c>
      <c r="Z35" s="4">
        <v>718664.2720532401</v>
      </c>
    </row>
    <row r="36" spans="1:26" x14ac:dyDescent="0.25">
      <c r="A36" s="1">
        <v>45309</v>
      </c>
      <c r="B36" s="6" t="str">
        <f t="shared" si="0"/>
        <v>01-18</v>
      </c>
      <c r="C36" s="1" t="str">
        <f t="shared" si="1"/>
        <v>GSS</v>
      </c>
      <c r="D36" s="2">
        <v>0.46111111111111108</v>
      </c>
      <c r="E36">
        <v>4</v>
      </c>
      <c r="F36" t="s">
        <v>26</v>
      </c>
      <c r="G36" s="5">
        <v>1.984</v>
      </c>
      <c r="H36" s="5">
        <v>6.5294999999999996</v>
      </c>
      <c r="I36">
        <v>29.8</v>
      </c>
      <c r="J36">
        <v>0.11</v>
      </c>
      <c r="K36">
        <v>0.5</v>
      </c>
      <c r="L36">
        <v>6.98</v>
      </c>
      <c r="M36">
        <v>91</v>
      </c>
      <c r="N36">
        <v>8.3000000000000007</v>
      </c>
      <c r="O36">
        <v>-64.7</v>
      </c>
      <c r="P36">
        <v>42</v>
      </c>
      <c r="Q36">
        <v>27.52</v>
      </c>
      <c r="R36">
        <v>2.67</v>
      </c>
      <c r="S36">
        <v>4.2699999999999996</v>
      </c>
      <c r="T36">
        <v>75.87</v>
      </c>
      <c r="U36">
        <v>0.2</v>
      </c>
      <c r="V36">
        <v>211.4</v>
      </c>
      <c r="W36">
        <v>268.85000000000002</v>
      </c>
      <c r="X36">
        <v>33.28</v>
      </c>
      <c r="Y36" s="4">
        <v>387667.34262385243</v>
      </c>
      <c r="Z36" s="4">
        <v>721850.49534728227</v>
      </c>
    </row>
    <row r="37" spans="1:26" x14ac:dyDescent="0.25">
      <c r="A37" s="1">
        <v>45309</v>
      </c>
      <c r="B37" s="6" t="str">
        <f t="shared" si="0"/>
        <v>01-18</v>
      </c>
      <c r="C37" s="1" t="str">
        <f t="shared" si="1"/>
        <v>GSS</v>
      </c>
      <c r="D37" s="2">
        <v>0.4826388888888889</v>
      </c>
      <c r="E37">
        <v>4</v>
      </c>
      <c r="F37" t="s">
        <v>27</v>
      </c>
      <c r="G37" s="5">
        <v>1.9822</v>
      </c>
      <c r="H37" s="5">
        <v>6.5602</v>
      </c>
      <c r="I37">
        <v>29.9</v>
      </c>
      <c r="J37">
        <v>0.75</v>
      </c>
      <c r="K37">
        <v>0.3</v>
      </c>
      <c r="L37">
        <v>7</v>
      </c>
      <c r="M37">
        <v>92.7</v>
      </c>
      <c r="N37">
        <v>8.16</v>
      </c>
      <c r="O37">
        <v>-58.5</v>
      </c>
      <c r="P37">
        <v>38</v>
      </c>
      <c r="Q37">
        <v>31.8</v>
      </c>
      <c r="R37">
        <v>2.97</v>
      </c>
      <c r="S37">
        <v>5.69</v>
      </c>
      <c r="T37">
        <v>63.81</v>
      </c>
      <c r="U37">
        <v>0.21</v>
      </c>
      <c r="V37">
        <v>213.95</v>
      </c>
      <c r="W37">
        <v>359.5</v>
      </c>
      <c r="X37">
        <v>28.91</v>
      </c>
      <c r="Y37" s="4">
        <v>387475.18079440482</v>
      </c>
      <c r="Z37" s="4">
        <v>725245.13735641493</v>
      </c>
    </row>
    <row r="38" spans="1:26" x14ac:dyDescent="0.25">
      <c r="A38" s="1">
        <v>45309</v>
      </c>
      <c r="B38" s="6" t="str">
        <f t="shared" si="0"/>
        <v>01-18</v>
      </c>
      <c r="C38" s="1" t="str">
        <f t="shared" si="1"/>
        <v>GSS</v>
      </c>
      <c r="D38" s="2">
        <v>0.49374999999999997</v>
      </c>
      <c r="E38">
        <v>4</v>
      </c>
      <c r="F38" t="s">
        <v>28</v>
      </c>
      <c r="G38" s="5">
        <v>1.9809000000000001</v>
      </c>
      <c r="H38" s="5">
        <v>6.5894000000000004</v>
      </c>
      <c r="I38">
        <v>29.5</v>
      </c>
      <c r="J38">
        <v>0.6</v>
      </c>
      <c r="K38">
        <v>0.2</v>
      </c>
      <c r="L38">
        <v>7</v>
      </c>
      <c r="M38">
        <v>92.6</v>
      </c>
      <c r="N38">
        <v>8.31</v>
      </c>
      <c r="O38">
        <v>-56.9</v>
      </c>
      <c r="P38">
        <v>38</v>
      </c>
      <c r="Q38">
        <v>31.62</v>
      </c>
      <c r="R38">
        <v>8.01</v>
      </c>
      <c r="S38">
        <v>7.38</v>
      </c>
      <c r="T38">
        <v>39.700000000000003</v>
      </c>
      <c r="U38">
        <v>0.18</v>
      </c>
      <c r="V38">
        <v>201.18</v>
      </c>
      <c r="W38">
        <v>252.25</v>
      </c>
      <c r="X38">
        <v>1.77</v>
      </c>
      <c r="Y38" s="4">
        <v>387338.0175576139</v>
      </c>
      <c r="Z38" s="4">
        <v>728473.83219849819</v>
      </c>
    </row>
    <row r="39" spans="1:26" x14ac:dyDescent="0.25">
      <c r="A39" s="1">
        <v>45309</v>
      </c>
      <c r="B39" s="6" t="str">
        <f t="shared" si="0"/>
        <v>01-18</v>
      </c>
      <c r="C39" s="1" t="str">
        <f t="shared" si="1"/>
        <v>GSS</v>
      </c>
      <c r="D39" s="2">
        <v>0.54583333333333328</v>
      </c>
      <c r="E39">
        <v>4</v>
      </c>
      <c r="F39" t="s">
        <v>29</v>
      </c>
      <c r="G39" s="5">
        <v>1.9655</v>
      </c>
      <c r="H39" s="5">
        <v>6.4878</v>
      </c>
      <c r="I39">
        <v>30.7</v>
      </c>
      <c r="J39">
        <v>0.18</v>
      </c>
      <c r="K39">
        <v>0.9</v>
      </c>
      <c r="L39">
        <v>7.54</v>
      </c>
      <c r="M39">
        <v>100.4</v>
      </c>
      <c r="N39">
        <v>8.4600000000000009</v>
      </c>
      <c r="O39">
        <v>-74.2</v>
      </c>
      <c r="P39">
        <v>62</v>
      </c>
      <c r="Q39">
        <v>15.74</v>
      </c>
      <c r="R39">
        <v>3.56</v>
      </c>
      <c r="S39">
        <v>2.29</v>
      </c>
      <c r="T39">
        <v>33.119999999999997</v>
      </c>
      <c r="V39">
        <v>184.58</v>
      </c>
      <c r="W39">
        <v>239.49</v>
      </c>
      <c r="X39">
        <v>29.12</v>
      </c>
      <c r="Y39" s="4">
        <v>385612.26229542762</v>
      </c>
      <c r="Z39" s="4">
        <v>717244.22352549795</v>
      </c>
    </row>
    <row r="40" spans="1:26" x14ac:dyDescent="0.25">
      <c r="A40" s="1">
        <v>45309</v>
      </c>
      <c r="B40" s="6" t="str">
        <f t="shared" si="0"/>
        <v>01-18</v>
      </c>
      <c r="C40" s="1" t="str">
        <f t="shared" si="1"/>
        <v>GSS</v>
      </c>
      <c r="D40" s="2">
        <v>0.56527777777777777</v>
      </c>
      <c r="E40">
        <v>4</v>
      </c>
      <c r="F40" t="s">
        <v>30</v>
      </c>
      <c r="G40" s="5">
        <v>1.9373</v>
      </c>
      <c r="H40" s="5">
        <v>6.4568000000000003</v>
      </c>
      <c r="I40">
        <v>30.6</v>
      </c>
      <c r="J40">
        <v>2.64</v>
      </c>
      <c r="K40">
        <v>1.4</v>
      </c>
      <c r="L40">
        <v>7.6</v>
      </c>
      <c r="M40">
        <v>101.4</v>
      </c>
      <c r="N40">
        <v>8.44</v>
      </c>
      <c r="O40">
        <v>-73.3</v>
      </c>
      <c r="P40">
        <v>68</v>
      </c>
      <c r="Q40">
        <v>13.26</v>
      </c>
      <c r="R40">
        <v>3.56</v>
      </c>
      <c r="S40">
        <v>2.0099999999999998</v>
      </c>
      <c r="T40">
        <v>56.14</v>
      </c>
      <c r="V40">
        <v>188.41</v>
      </c>
      <c r="W40">
        <v>238.21</v>
      </c>
      <c r="X40">
        <v>35.67</v>
      </c>
      <c r="Y40" s="4">
        <v>382486.59163122613</v>
      </c>
      <c r="Z40" s="4">
        <v>713823.2259921059</v>
      </c>
    </row>
    <row r="41" spans="1:26" x14ac:dyDescent="0.25">
      <c r="A41" s="1">
        <v>45309</v>
      </c>
      <c r="B41" s="6" t="str">
        <f t="shared" si="0"/>
        <v>01-18</v>
      </c>
      <c r="C41" s="1" t="str">
        <f t="shared" si="1"/>
        <v>GSS</v>
      </c>
      <c r="D41" s="2">
        <v>0.57916666666666672</v>
      </c>
      <c r="E41">
        <v>4</v>
      </c>
      <c r="F41" t="s">
        <v>31</v>
      </c>
      <c r="G41" s="5">
        <v>1.9348000000000001</v>
      </c>
      <c r="H41" s="5">
        <v>6.4222000000000001</v>
      </c>
      <c r="I41">
        <v>32.4</v>
      </c>
      <c r="J41">
        <v>5.9</v>
      </c>
      <c r="K41">
        <v>3.9</v>
      </c>
      <c r="L41">
        <v>7.33</v>
      </c>
      <c r="M41">
        <v>100.1</v>
      </c>
      <c r="N41">
        <v>8.23</v>
      </c>
      <c r="O41">
        <v>-63.6</v>
      </c>
      <c r="P41">
        <v>40</v>
      </c>
      <c r="Q41">
        <v>29.6</v>
      </c>
      <c r="R41">
        <v>5.34</v>
      </c>
      <c r="S41">
        <v>1.73</v>
      </c>
      <c r="T41">
        <v>82.44</v>
      </c>
      <c r="V41">
        <v>184.58</v>
      </c>
      <c r="W41">
        <v>248.42</v>
      </c>
      <c r="X41">
        <v>29.79</v>
      </c>
      <c r="Y41" s="4">
        <v>382202.13294807624</v>
      </c>
      <c r="Z41" s="4">
        <v>709998.33191742201</v>
      </c>
    </row>
    <row r="42" spans="1:26" x14ac:dyDescent="0.25">
      <c r="A42" s="1">
        <v>45330</v>
      </c>
      <c r="B42" s="6" t="str">
        <f t="shared" si="0"/>
        <v>02-08</v>
      </c>
      <c r="C42" s="1" t="str">
        <f t="shared" si="1"/>
        <v>GSS</v>
      </c>
      <c r="D42" s="2">
        <v>0.37291666666666662</v>
      </c>
      <c r="E42">
        <v>5</v>
      </c>
      <c r="F42" t="s">
        <v>22</v>
      </c>
      <c r="G42" s="5">
        <v>1.93618</v>
      </c>
      <c r="H42" s="5">
        <v>6.3917999999999999</v>
      </c>
      <c r="I42">
        <v>26.8</v>
      </c>
      <c r="J42">
        <v>26.1</v>
      </c>
      <c r="K42">
        <v>16</v>
      </c>
      <c r="L42">
        <v>6.2</v>
      </c>
      <c r="M42">
        <v>77.400000000000006</v>
      </c>
      <c r="N42">
        <v>7.75</v>
      </c>
      <c r="O42">
        <v>-36.4</v>
      </c>
      <c r="P42">
        <v>75</v>
      </c>
      <c r="Q42">
        <v>12.84</v>
      </c>
      <c r="R42">
        <v>3.2</v>
      </c>
      <c r="S42">
        <v>2.58</v>
      </c>
      <c r="T42">
        <v>0.24</v>
      </c>
      <c r="V42">
        <v>128.4</v>
      </c>
      <c r="W42">
        <v>179.48</v>
      </c>
      <c r="X42">
        <v>18.97</v>
      </c>
      <c r="Y42" s="4">
        <v>382769.63003693346</v>
      </c>
      <c r="Z42" s="4">
        <v>706304.35337691102</v>
      </c>
    </row>
    <row r="43" spans="1:26" x14ac:dyDescent="0.25">
      <c r="A43" s="1">
        <v>45330</v>
      </c>
      <c r="B43" s="6" t="str">
        <f t="shared" si="0"/>
        <v>02-08</v>
      </c>
      <c r="C43" s="1" t="str">
        <f t="shared" si="1"/>
        <v>GSS</v>
      </c>
      <c r="D43" s="2">
        <v>0.4055555555555555</v>
      </c>
      <c r="E43">
        <v>5</v>
      </c>
      <c r="F43" t="s">
        <v>23</v>
      </c>
      <c r="G43" s="5">
        <v>1.9513</v>
      </c>
      <c r="H43" s="5">
        <v>6.4095000000000004</v>
      </c>
      <c r="I43">
        <v>25.8</v>
      </c>
      <c r="J43">
        <v>3.33</v>
      </c>
      <c r="K43">
        <v>1.7</v>
      </c>
      <c r="L43">
        <v>7.66</v>
      </c>
      <c r="M43">
        <v>92.9</v>
      </c>
      <c r="N43">
        <v>8.35</v>
      </c>
      <c r="O43">
        <v>-67.099999999999994</v>
      </c>
      <c r="P43">
        <v>45</v>
      </c>
      <c r="Q43">
        <v>25.47</v>
      </c>
      <c r="R43">
        <v>4.01</v>
      </c>
      <c r="S43">
        <v>2.0099999999999998</v>
      </c>
      <c r="T43">
        <v>1.34</v>
      </c>
      <c r="V43">
        <v>203.73</v>
      </c>
      <c r="W43">
        <v>266.3</v>
      </c>
      <c r="X43">
        <v>27.62</v>
      </c>
      <c r="Y43" s="4">
        <v>384024.1570784403</v>
      </c>
      <c r="Z43" s="4">
        <v>708590.42751502525</v>
      </c>
    </row>
    <row r="44" spans="1:26" x14ac:dyDescent="0.25">
      <c r="A44" s="1">
        <v>45330</v>
      </c>
      <c r="B44" s="6" t="str">
        <f t="shared" si="0"/>
        <v>02-08</v>
      </c>
      <c r="C44" s="1" t="str">
        <f t="shared" si="1"/>
        <v>GSS</v>
      </c>
      <c r="D44" s="2">
        <v>0.42222222222222222</v>
      </c>
      <c r="E44">
        <v>5</v>
      </c>
      <c r="F44" t="s">
        <v>24</v>
      </c>
      <c r="G44" s="5">
        <v>1.9669000000000001</v>
      </c>
      <c r="H44" s="5">
        <v>6.4546000000000001</v>
      </c>
      <c r="I44">
        <v>26.4</v>
      </c>
      <c r="J44">
        <v>3.34</v>
      </c>
      <c r="K44">
        <v>1.9</v>
      </c>
      <c r="L44">
        <v>7.97</v>
      </c>
      <c r="M44">
        <v>98.2</v>
      </c>
      <c r="N44">
        <v>8.39</v>
      </c>
      <c r="O44">
        <v>-73</v>
      </c>
      <c r="P44">
        <v>67</v>
      </c>
      <c r="Q44">
        <v>14.69</v>
      </c>
      <c r="R44">
        <v>4.2699999999999996</v>
      </c>
      <c r="S44">
        <v>3.42</v>
      </c>
      <c r="T44">
        <v>4.63</v>
      </c>
      <c r="V44">
        <v>215.23</v>
      </c>
      <c r="W44">
        <v>245.87</v>
      </c>
      <c r="X44">
        <v>21.66</v>
      </c>
      <c r="Y44" s="4">
        <v>385759.62074491731</v>
      </c>
      <c r="Z44" s="4">
        <v>713573.25678037247</v>
      </c>
    </row>
    <row r="45" spans="1:26" x14ac:dyDescent="0.25">
      <c r="A45" s="1">
        <v>45330</v>
      </c>
      <c r="B45" s="6" t="str">
        <f t="shared" si="0"/>
        <v>02-08</v>
      </c>
      <c r="C45" s="1" t="str">
        <f t="shared" si="1"/>
        <v>GSS</v>
      </c>
      <c r="D45" s="2">
        <v>0.43958333333333338</v>
      </c>
      <c r="E45">
        <v>5</v>
      </c>
      <c r="F45" t="s">
        <v>25</v>
      </c>
      <c r="G45" s="5">
        <v>1.9933000000000001</v>
      </c>
      <c r="H45" s="5">
        <v>6.5007000000000001</v>
      </c>
      <c r="I45">
        <v>26.5</v>
      </c>
      <c r="J45">
        <v>3.69</v>
      </c>
      <c r="K45">
        <v>1.9</v>
      </c>
      <c r="L45">
        <v>7.8</v>
      </c>
      <c r="M45">
        <v>96.5</v>
      </c>
      <c r="N45">
        <v>8.4499999999999993</v>
      </c>
      <c r="O45">
        <v>-72.599999999999994</v>
      </c>
      <c r="P45">
        <v>85</v>
      </c>
      <c r="Q45">
        <v>10.8</v>
      </c>
      <c r="R45">
        <v>4.2699999999999996</v>
      </c>
      <c r="S45">
        <v>2.0099999999999998</v>
      </c>
      <c r="T45">
        <v>4.63</v>
      </c>
      <c r="V45">
        <v>201.18</v>
      </c>
      <c r="W45">
        <v>225.44</v>
      </c>
      <c r="X45">
        <v>28.21</v>
      </c>
      <c r="Y45" s="4">
        <v>388689.34009811806</v>
      </c>
      <c r="Z45" s="4">
        <v>718664.2720532401</v>
      </c>
    </row>
    <row r="46" spans="1:26" x14ac:dyDescent="0.25">
      <c r="A46" s="1">
        <v>45330</v>
      </c>
      <c r="B46" s="6" t="str">
        <f t="shared" si="0"/>
        <v>02-08</v>
      </c>
      <c r="C46" s="1" t="str">
        <f t="shared" si="1"/>
        <v>GSS</v>
      </c>
      <c r="D46" s="2">
        <v>0.4513888888888889</v>
      </c>
      <c r="E46">
        <v>5</v>
      </c>
      <c r="F46" t="s">
        <v>26</v>
      </c>
      <c r="G46" s="5">
        <v>1.984</v>
      </c>
      <c r="H46" s="5">
        <v>6.5294999999999996</v>
      </c>
      <c r="I46">
        <v>26.2</v>
      </c>
      <c r="J46">
        <v>2.2200000000000002</v>
      </c>
      <c r="K46">
        <v>1.1000000000000001</v>
      </c>
      <c r="L46">
        <v>7.82</v>
      </c>
      <c r="M46">
        <v>96.2</v>
      </c>
      <c r="N46">
        <v>8.42</v>
      </c>
      <c r="O46">
        <v>-70.900000000000006</v>
      </c>
      <c r="P46">
        <v>75</v>
      </c>
      <c r="Q46">
        <v>12.6</v>
      </c>
      <c r="R46">
        <v>4.2699999999999996</v>
      </c>
      <c r="S46">
        <v>2.0099999999999998</v>
      </c>
      <c r="T46">
        <v>6.82</v>
      </c>
      <c r="V46">
        <v>216.5</v>
      </c>
      <c r="W46">
        <v>253.53</v>
      </c>
      <c r="X46">
        <v>25.73</v>
      </c>
      <c r="Y46" s="4">
        <v>387667.34262385243</v>
      </c>
      <c r="Z46" s="4">
        <v>721850.49534728227</v>
      </c>
    </row>
    <row r="47" spans="1:26" x14ac:dyDescent="0.25">
      <c r="A47" s="1">
        <v>45330</v>
      </c>
      <c r="B47" s="6" t="str">
        <f t="shared" si="0"/>
        <v>02-08</v>
      </c>
      <c r="C47" s="1" t="str">
        <f t="shared" si="1"/>
        <v>GSS</v>
      </c>
      <c r="D47" s="2">
        <v>0.46249999999999997</v>
      </c>
      <c r="E47">
        <v>5</v>
      </c>
      <c r="F47" t="s">
        <v>27</v>
      </c>
      <c r="G47" s="5">
        <v>1.9822</v>
      </c>
      <c r="H47" s="5">
        <v>6.5602</v>
      </c>
      <c r="I47">
        <v>25</v>
      </c>
      <c r="J47">
        <v>1.39</v>
      </c>
      <c r="K47">
        <v>0.7</v>
      </c>
      <c r="L47">
        <v>7.94</v>
      </c>
      <c r="M47">
        <v>98.2</v>
      </c>
      <c r="N47">
        <v>8.2899999999999991</v>
      </c>
      <c r="O47">
        <v>-66.3</v>
      </c>
      <c r="P47">
        <v>50</v>
      </c>
      <c r="Q47">
        <v>22.15</v>
      </c>
      <c r="R47">
        <v>6.41</v>
      </c>
      <c r="S47">
        <v>2.29</v>
      </c>
      <c r="T47">
        <v>2.44</v>
      </c>
      <c r="V47">
        <v>225.44</v>
      </c>
      <c r="W47">
        <v>270.13</v>
      </c>
      <c r="X47">
        <v>27.5</v>
      </c>
      <c r="Y47" s="4">
        <v>387475.18079440482</v>
      </c>
      <c r="Z47" s="4">
        <v>725245.13735641493</v>
      </c>
    </row>
    <row r="48" spans="1:26" x14ac:dyDescent="0.25">
      <c r="A48" s="1">
        <v>45330</v>
      </c>
      <c r="B48" s="6" t="str">
        <f t="shared" si="0"/>
        <v>02-08</v>
      </c>
      <c r="C48" s="1" t="str">
        <f t="shared" si="1"/>
        <v>GSS</v>
      </c>
      <c r="D48" s="2">
        <v>0.4770833333333333</v>
      </c>
      <c r="E48">
        <v>5</v>
      </c>
      <c r="F48" t="s">
        <v>28</v>
      </c>
      <c r="G48" s="5">
        <v>1.9809000000000001</v>
      </c>
      <c r="H48" s="5">
        <v>6.5894000000000004</v>
      </c>
      <c r="I48">
        <v>25.8</v>
      </c>
      <c r="J48">
        <v>0.73</v>
      </c>
      <c r="K48">
        <v>0.3</v>
      </c>
      <c r="L48">
        <v>7.85</v>
      </c>
      <c r="M48">
        <v>96.5</v>
      </c>
      <c r="N48">
        <v>8.2200000000000006</v>
      </c>
      <c r="O48">
        <v>-60.3</v>
      </c>
      <c r="P48">
        <v>42</v>
      </c>
      <c r="Q48">
        <v>28.78</v>
      </c>
      <c r="R48">
        <v>6.41</v>
      </c>
      <c r="S48">
        <v>2.58</v>
      </c>
      <c r="T48">
        <v>7.92</v>
      </c>
      <c r="V48">
        <v>215.23</v>
      </c>
      <c r="W48">
        <v>262.47000000000003</v>
      </c>
      <c r="X48">
        <v>22.48</v>
      </c>
      <c r="Y48" s="4">
        <v>387338.0175576139</v>
      </c>
      <c r="Z48" s="4">
        <v>728473.83219849819</v>
      </c>
    </row>
    <row r="49" spans="1:26" x14ac:dyDescent="0.25">
      <c r="A49" s="1">
        <v>45330</v>
      </c>
      <c r="B49" s="6" t="str">
        <f t="shared" si="0"/>
        <v>02-08</v>
      </c>
      <c r="C49" s="1" t="str">
        <f t="shared" si="1"/>
        <v>GSS</v>
      </c>
      <c r="D49" s="2">
        <v>0.53402777777777777</v>
      </c>
      <c r="E49">
        <v>5</v>
      </c>
      <c r="F49" t="s">
        <v>29</v>
      </c>
      <c r="G49" s="5">
        <v>1.9655</v>
      </c>
      <c r="H49" s="5">
        <v>6.4878</v>
      </c>
      <c r="I49">
        <v>27.2</v>
      </c>
      <c r="J49">
        <v>4</v>
      </c>
      <c r="K49">
        <v>2.1</v>
      </c>
      <c r="L49">
        <v>8.17</v>
      </c>
      <c r="M49">
        <v>103</v>
      </c>
      <c r="N49">
        <v>8.3699999999999992</v>
      </c>
      <c r="O49">
        <v>-70.7</v>
      </c>
      <c r="P49">
        <v>81</v>
      </c>
      <c r="Q49">
        <v>11.54</v>
      </c>
      <c r="R49">
        <v>4.2699999999999996</v>
      </c>
      <c r="S49">
        <v>2.86</v>
      </c>
      <c r="T49">
        <v>4.63</v>
      </c>
      <c r="V49">
        <v>201.18</v>
      </c>
      <c r="W49">
        <v>238.21</v>
      </c>
      <c r="X49">
        <v>34.020000000000003</v>
      </c>
      <c r="Y49" s="4">
        <v>385612.26229542762</v>
      </c>
      <c r="Z49" s="4">
        <v>717244.22352549795</v>
      </c>
    </row>
    <row r="50" spans="1:26" x14ac:dyDescent="0.25">
      <c r="A50" s="1">
        <v>45330</v>
      </c>
      <c r="B50" s="6" t="str">
        <f t="shared" si="0"/>
        <v>02-08</v>
      </c>
      <c r="C50" s="1" t="str">
        <f t="shared" si="1"/>
        <v>GSS</v>
      </c>
      <c r="D50" s="2">
        <v>0.5541666666666667</v>
      </c>
      <c r="E50">
        <v>5</v>
      </c>
      <c r="F50" t="s">
        <v>30</v>
      </c>
      <c r="G50" s="5">
        <v>1.9373</v>
      </c>
      <c r="H50" s="5">
        <v>6.4568000000000003</v>
      </c>
      <c r="I50">
        <v>27.6</v>
      </c>
      <c r="J50">
        <v>3.99</v>
      </c>
      <c r="K50">
        <v>2.1</v>
      </c>
      <c r="L50">
        <v>8.26</v>
      </c>
      <c r="M50">
        <v>104.3</v>
      </c>
      <c r="N50">
        <v>8.49</v>
      </c>
      <c r="O50">
        <v>-73.5</v>
      </c>
      <c r="P50">
        <v>65</v>
      </c>
      <c r="Q50">
        <v>15.9</v>
      </c>
      <c r="R50">
        <v>4.2699999999999996</v>
      </c>
      <c r="S50">
        <v>2.0099999999999998</v>
      </c>
      <c r="T50">
        <v>2.44</v>
      </c>
      <c r="V50">
        <v>207.57</v>
      </c>
      <c r="W50">
        <v>236.93</v>
      </c>
      <c r="X50">
        <v>21.84</v>
      </c>
      <c r="Y50" s="4">
        <v>382486.59163122613</v>
      </c>
      <c r="Z50" s="4">
        <v>713823.2259921059</v>
      </c>
    </row>
    <row r="51" spans="1:26" x14ac:dyDescent="0.25">
      <c r="A51" s="1">
        <v>45330</v>
      </c>
      <c r="B51" s="6" t="str">
        <f t="shared" si="0"/>
        <v>02-08</v>
      </c>
      <c r="C51" s="1" t="str">
        <f t="shared" si="1"/>
        <v>GSS</v>
      </c>
      <c r="D51" s="2">
        <v>0.56666666666666665</v>
      </c>
      <c r="E51">
        <v>5</v>
      </c>
      <c r="F51" t="s">
        <v>31</v>
      </c>
      <c r="G51" s="5">
        <v>1.9348000000000001</v>
      </c>
      <c r="H51" s="5">
        <v>6.4222000000000001</v>
      </c>
      <c r="I51">
        <v>28.7</v>
      </c>
      <c r="J51">
        <v>4.63</v>
      </c>
      <c r="K51">
        <v>1.8</v>
      </c>
      <c r="L51">
        <v>7.67</v>
      </c>
      <c r="M51">
        <v>98.8</v>
      </c>
      <c r="N51">
        <v>8.2799999999999994</v>
      </c>
      <c r="O51">
        <v>-62.2</v>
      </c>
      <c r="P51">
        <v>32</v>
      </c>
      <c r="Q51">
        <v>42.19</v>
      </c>
      <c r="R51">
        <v>4.01</v>
      </c>
      <c r="S51">
        <v>3.71</v>
      </c>
      <c r="T51">
        <v>9.01</v>
      </c>
      <c r="V51">
        <v>194.8</v>
      </c>
      <c r="W51">
        <v>242.04</v>
      </c>
      <c r="X51">
        <v>29.61</v>
      </c>
      <c r="Y51" s="4">
        <v>382202.13294807624</v>
      </c>
      <c r="Z51" s="4">
        <v>709998.33191742201</v>
      </c>
    </row>
    <row r="52" spans="1:26" x14ac:dyDescent="0.25">
      <c r="A52" s="1">
        <v>45358</v>
      </c>
      <c r="B52" s="6" t="str">
        <f t="shared" si="0"/>
        <v>03-07</v>
      </c>
      <c r="C52" s="1" t="str">
        <f t="shared" si="1"/>
        <v>GSS</v>
      </c>
      <c r="D52" s="2">
        <v>0.43958333333333338</v>
      </c>
      <c r="E52">
        <v>6</v>
      </c>
      <c r="F52" t="s">
        <v>22</v>
      </c>
      <c r="G52" s="5">
        <v>1.93618</v>
      </c>
      <c r="H52" s="5">
        <v>6.3917999999999999</v>
      </c>
      <c r="I52">
        <v>30.1</v>
      </c>
      <c r="J52">
        <v>34.299999999999997</v>
      </c>
      <c r="K52">
        <v>31.7</v>
      </c>
      <c r="L52">
        <v>7.48</v>
      </c>
      <c r="M52">
        <v>98.3</v>
      </c>
      <c r="N52">
        <v>8.16</v>
      </c>
      <c r="O52">
        <v>-58.7</v>
      </c>
      <c r="P52">
        <v>52</v>
      </c>
      <c r="Q52">
        <v>21.48</v>
      </c>
      <c r="R52">
        <v>3.2</v>
      </c>
      <c r="S52">
        <v>1.73</v>
      </c>
      <c r="T52">
        <v>245.75</v>
      </c>
      <c r="V52">
        <v>77.33</v>
      </c>
      <c r="W52">
        <v>174.37</v>
      </c>
      <c r="X52">
        <v>19.36</v>
      </c>
      <c r="Y52" s="4">
        <v>382769.63003693346</v>
      </c>
      <c r="Z52" s="4">
        <v>706304.35337691102</v>
      </c>
    </row>
    <row r="53" spans="1:26" x14ac:dyDescent="0.25">
      <c r="A53" s="1">
        <v>45358</v>
      </c>
      <c r="B53" s="6" t="str">
        <f t="shared" si="0"/>
        <v>03-07</v>
      </c>
      <c r="C53" s="1" t="str">
        <f t="shared" si="1"/>
        <v>GSS</v>
      </c>
      <c r="D53" s="2">
        <v>0.46666666666666662</v>
      </c>
      <c r="E53">
        <v>6</v>
      </c>
      <c r="F53" t="s">
        <v>23</v>
      </c>
      <c r="G53" s="5">
        <v>1.9513</v>
      </c>
      <c r="H53" s="5">
        <v>6.4095000000000004</v>
      </c>
      <c r="I53">
        <v>30.3</v>
      </c>
      <c r="J53">
        <v>22.3</v>
      </c>
      <c r="K53">
        <v>13.6</v>
      </c>
      <c r="L53">
        <v>6.81</v>
      </c>
      <c r="M53">
        <v>90.3</v>
      </c>
      <c r="N53">
        <v>8.25</v>
      </c>
      <c r="O53">
        <v>-63</v>
      </c>
      <c r="P53">
        <v>40</v>
      </c>
      <c r="Q53">
        <v>48.16</v>
      </c>
      <c r="R53">
        <v>6.41</v>
      </c>
      <c r="S53">
        <v>0.88</v>
      </c>
      <c r="T53">
        <v>127.38</v>
      </c>
      <c r="V53">
        <v>129.68</v>
      </c>
      <c r="W53">
        <v>199.9</v>
      </c>
      <c r="X53">
        <v>27.87</v>
      </c>
      <c r="Y53" s="4">
        <v>384024.1570784403</v>
      </c>
      <c r="Z53" s="4">
        <v>708590.42751502525</v>
      </c>
    </row>
    <row r="54" spans="1:26" x14ac:dyDescent="0.25">
      <c r="A54" s="1">
        <v>45358</v>
      </c>
      <c r="B54" s="6" t="str">
        <f t="shared" si="0"/>
        <v>03-07</v>
      </c>
      <c r="C54" s="1" t="str">
        <f t="shared" si="1"/>
        <v>GSS</v>
      </c>
      <c r="D54" s="2">
        <v>0.4826388888888889</v>
      </c>
      <c r="E54">
        <v>6</v>
      </c>
      <c r="F54" t="s">
        <v>24</v>
      </c>
      <c r="G54" s="5">
        <v>1.9669000000000001</v>
      </c>
      <c r="H54" s="5">
        <v>6.4546000000000001</v>
      </c>
      <c r="I54">
        <v>30.2</v>
      </c>
      <c r="J54">
        <v>9.49</v>
      </c>
      <c r="K54">
        <v>5.4</v>
      </c>
      <c r="L54">
        <v>7.5</v>
      </c>
      <c r="M54">
        <v>99.1</v>
      </c>
      <c r="N54">
        <v>8.48</v>
      </c>
      <c r="O54">
        <v>-75.400000000000006</v>
      </c>
      <c r="P54">
        <v>72</v>
      </c>
      <c r="Q54">
        <v>20.239999999999998</v>
      </c>
      <c r="R54">
        <v>4.2699999999999996</v>
      </c>
      <c r="S54">
        <v>0.6</v>
      </c>
      <c r="T54">
        <v>105.46</v>
      </c>
      <c r="V54">
        <v>159.05000000000001</v>
      </c>
      <c r="W54">
        <v>208.84</v>
      </c>
      <c r="X54">
        <v>24.56</v>
      </c>
      <c r="Y54" s="4">
        <v>385759.62074491731</v>
      </c>
      <c r="Z54" s="4">
        <v>713573.25678037247</v>
      </c>
    </row>
    <row r="55" spans="1:26" x14ac:dyDescent="0.25">
      <c r="A55" s="1">
        <v>45358</v>
      </c>
      <c r="B55" s="6" t="str">
        <f t="shared" si="0"/>
        <v>03-07</v>
      </c>
      <c r="C55" s="1" t="str">
        <f t="shared" si="1"/>
        <v>GSS</v>
      </c>
      <c r="D55" s="2">
        <v>0.50555555555555554</v>
      </c>
      <c r="E55">
        <v>6</v>
      </c>
      <c r="F55" t="s">
        <v>25</v>
      </c>
      <c r="G55" s="5">
        <v>1.9933000000000001</v>
      </c>
      <c r="H55" s="5">
        <v>6.5007000000000001</v>
      </c>
      <c r="I55">
        <v>30.5</v>
      </c>
      <c r="J55">
        <v>5.37</v>
      </c>
      <c r="K55">
        <v>2.9</v>
      </c>
      <c r="L55">
        <v>7.35</v>
      </c>
      <c r="M55">
        <v>97.7</v>
      </c>
      <c r="N55">
        <v>8.5</v>
      </c>
      <c r="O55">
        <v>-75.8</v>
      </c>
      <c r="P55">
        <v>50</v>
      </c>
      <c r="Q55">
        <v>34.56</v>
      </c>
      <c r="R55">
        <v>5.34</v>
      </c>
      <c r="S55">
        <v>0.6</v>
      </c>
      <c r="T55">
        <v>85.73</v>
      </c>
      <c r="V55">
        <v>229.27</v>
      </c>
      <c r="W55">
        <v>294.39</v>
      </c>
      <c r="X55">
        <v>23.98</v>
      </c>
      <c r="Y55" s="4">
        <v>388689.34009811806</v>
      </c>
      <c r="Z55" s="4">
        <v>718664.2720532401</v>
      </c>
    </row>
    <row r="56" spans="1:26" x14ac:dyDescent="0.25">
      <c r="A56" s="1">
        <v>45358</v>
      </c>
      <c r="B56" s="6" t="str">
        <f t="shared" si="0"/>
        <v>03-07</v>
      </c>
      <c r="C56" s="1" t="str">
        <f t="shared" si="1"/>
        <v>GSS</v>
      </c>
      <c r="D56" s="2">
        <v>0.51527777777777783</v>
      </c>
      <c r="E56">
        <v>6</v>
      </c>
      <c r="F56" t="s">
        <v>26</v>
      </c>
      <c r="G56" s="5">
        <v>1.984</v>
      </c>
      <c r="H56" s="5">
        <v>6.5294999999999996</v>
      </c>
      <c r="I56">
        <v>30.5</v>
      </c>
      <c r="J56">
        <v>4.91</v>
      </c>
      <c r="K56">
        <v>2.7</v>
      </c>
      <c r="L56">
        <v>7.38</v>
      </c>
      <c r="M56">
        <v>98.3</v>
      </c>
      <c r="N56">
        <v>8.49</v>
      </c>
      <c r="O56">
        <v>-75.8</v>
      </c>
      <c r="P56">
        <v>56</v>
      </c>
      <c r="Q56">
        <v>28.02</v>
      </c>
      <c r="R56">
        <v>7.48</v>
      </c>
      <c r="S56">
        <v>0.88</v>
      </c>
      <c r="T56">
        <v>76.959999999999994</v>
      </c>
      <c r="V56">
        <v>207.57</v>
      </c>
      <c r="W56">
        <v>220.33</v>
      </c>
      <c r="X56">
        <v>28.05</v>
      </c>
      <c r="Y56" s="4">
        <v>387667.34262385243</v>
      </c>
      <c r="Z56" s="4">
        <v>721850.49534728227</v>
      </c>
    </row>
    <row r="57" spans="1:26" x14ac:dyDescent="0.25">
      <c r="A57" s="1">
        <v>45358</v>
      </c>
      <c r="B57" s="6" t="str">
        <f t="shared" si="0"/>
        <v>03-07</v>
      </c>
      <c r="C57" s="1" t="str">
        <f t="shared" si="1"/>
        <v>GSS</v>
      </c>
      <c r="D57" s="2">
        <v>0.52500000000000002</v>
      </c>
      <c r="E57">
        <v>6</v>
      </c>
      <c r="F57" t="s">
        <v>27</v>
      </c>
      <c r="G57" s="5">
        <v>1.9822</v>
      </c>
      <c r="H57" s="5">
        <v>6.5602</v>
      </c>
      <c r="I57">
        <v>30.4</v>
      </c>
      <c r="J57">
        <v>2.68</v>
      </c>
      <c r="K57">
        <v>1.4</v>
      </c>
      <c r="L57">
        <v>7.39</v>
      </c>
      <c r="M57">
        <v>98.1</v>
      </c>
      <c r="N57">
        <v>8.5</v>
      </c>
      <c r="O57">
        <v>-74.400000000000006</v>
      </c>
      <c r="P57">
        <v>46</v>
      </c>
      <c r="Q57">
        <v>28.34</v>
      </c>
      <c r="R57">
        <v>6.41</v>
      </c>
      <c r="S57">
        <v>1.73</v>
      </c>
      <c r="T57">
        <v>93.4</v>
      </c>
      <c r="V57">
        <v>244.59</v>
      </c>
      <c r="W57">
        <v>333.97</v>
      </c>
      <c r="X57">
        <v>25.51</v>
      </c>
      <c r="Y57" s="4">
        <v>387475.18079440482</v>
      </c>
      <c r="Z57" s="4">
        <v>725245.13735641493</v>
      </c>
    </row>
    <row r="58" spans="1:26" x14ac:dyDescent="0.25">
      <c r="A58" s="1">
        <v>45358</v>
      </c>
      <c r="B58" s="6" t="str">
        <f t="shared" si="0"/>
        <v>03-07</v>
      </c>
      <c r="C58" s="1" t="str">
        <f t="shared" si="1"/>
        <v>GSS</v>
      </c>
      <c r="D58" s="2">
        <v>0.53472222222222221</v>
      </c>
      <c r="E58">
        <v>6</v>
      </c>
      <c r="F58" t="s">
        <v>28</v>
      </c>
      <c r="G58" s="5">
        <v>1.9809000000000001</v>
      </c>
      <c r="H58" s="5">
        <v>6.5894000000000004</v>
      </c>
      <c r="I58">
        <v>30.4</v>
      </c>
      <c r="J58">
        <v>2.89</v>
      </c>
      <c r="K58">
        <v>1.5</v>
      </c>
      <c r="L58">
        <v>7.3</v>
      </c>
      <c r="M58">
        <v>96.7</v>
      </c>
      <c r="N58">
        <v>8.43</v>
      </c>
      <c r="O58">
        <v>-71.3</v>
      </c>
      <c r="P58">
        <v>40</v>
      </c>
      <c r="Q58">
        <v>46.86</v>
      </c>
      <c r="R58">
        <v>7.48</v>
      </c>
      <c r="S58">
        <v>0.88</v>
      </c>
      <c r="T58">
        <v>98.88</v>
      </c>
      <c r="V58">
        <v>199.9</v>
      </c>
      <c r="W58">
        <v>250.98</v>
      </c>
      <c r="X58">
        <v>28.27</v>
      </c>
      <c r="Y58" s="4">
        <v>387338.0175576139</v>
      </c>
      <c r="Z58" s="4">
        <v>728473.83219849819</v>
      </c>
    </row>
    <row r="59" spans="1:26" x14ac:dyDescent="0.25">
      <c r="A59" s="1">
        <v>45358</v>
      </c>
      <c r="B59" s="6" t="str">
        <f t="shared" si="0"/>
        <v>03-07</v>
      </c>
      <c r="C59" s="1" t="str">
        <f t="shared" si="1"/>
        <v>GSS</v>
      </c>
      <c r="D59" s="2">
        <v>0.59375</v>
      </c>
      <c r="E59">
        <v>6</v>
      </c>
      <c r="F59" t="s">
        <v>29</v>
      </c>
      <c r="G59" s="5">
        <v>1.9655</v>
      </c>
      <c r="H59" s="5">
        <v>6.4878</v>
      </c>
      <c r="I59">
        <v>31.1</v>
      </c>
      <c r="J59">
        <v>7.54</v>
      </c>
      <c r="K59">
        <v>4.2</v>
      </c>
      <c r="L59">
        <v>7.7</v>
      </c>
      <c r="M59">
        <v>103.6</v>
      </c>
      <c r="N59">
        <v>8.56</v>
      </c>
      <c r="O59">
        <v>-79.5</v>
      </c>
      <c r="P59">
        <v>31</v>
      </c>
      <c r="Q59">
        <v>42.1</v>
      </c>
      <c r="R59">
        <v>6.41</v>
      </c>
      <c r="S59">
        <v>0.6</v>
      </c>
      <c r="T59">
        <v>86.83</v>
      </c>
      <c r="V59">
        <v>230.55</v>
      </c>
      <c r="W59">
        <v>295.66000000000003</v>
      </c>
      <c r="X59">
        <v>25.21</v>
      </c>
      <c r="Y59" s="4">
        <v>385612.26229542762</v>
      </c>
      <c r="Z59" s="4">
        <v>717244.22352549795</v>
      </c>
    </row>
    <row r="60" spans="1:26" x14ac:dyDescent="0.25">
      <c r="A60" s="1">
        <v>45358</v>
      </c>
      <c r="B60" s="6" t="str">
        <f t="shared" si="0"/>
        <v>03-07</v>
      </c>
      <c r="C60" s="1" t="str">
        <f t="shared" si="1"/>
        <v>GSS</v>
      </c>
      <c r="D60" s="2">
        <v>0.61319444444444449</v>
      </c>
      <c r="E60">
        <v>6</v>
      </c>
      <c r="F60" t="s">
        <v>30</v>
      </c>
      <c r="G60" s="5">
        <v>1.9373</v>
      </c>
      <c r="H60" s="5">
        <v>6.4568000000000003</v>
      </c>
      <c r="I60">
        <v>31.3</v>
      </c>
      <c r="J60">
        <v>10.5</v>
      </c>
      <c r="K60">
        <v>6</v>
      </c>
      <c r="L60">
        <v>7.66</v>
      </c>
      <c r="M60">
        <v>103.7</v>
      </c>
      <c r="N60">
        <v>8.4499999999999993</v>
      </c>
      <c r="O60">
        <v>-73.8</v>
      </c>
      <c r="P60">
        <v>27</v>
      </c>
      <c r="Q60">
        <v>69.819999999999993</v>
      </c>
      <c r="R60">
        <v>5.34</v>
      </c>
      <c r="S60">
        <v>0.88</v>
      </c>
      <c r="T60">
        <v>95.6</v>
      </c>
      <c r="V60">
        <v>183.31</v>
      </c>
      <c r="W60">
        <v>248.42</v>
      </c>
      <c r="X60">
        <v>24.81</v>
      </c>
      <c r="Y60" s="4">
        <v>382486.59163122613</v>
      </c>
      <c r="Z60" s="4">
        <v>713823.2259921059</v>
      </c>
    </row>
    <row r="61" spans="1:26" x14ac:dyDescent="0.25">
      <c r="A61" s="1">
        <v>45358</v>
      </c>
      <c r="B61" s="6" t="str">
        <f t="shared" si="0"/>
        <v>03-07</v>
      </c>
      <c r="C61" s="1" t="str">
        <f t="shared" si="1"/>
        <v>GSS</v>
      </c>
      <c r="D61" s="2">
        <v>0.625</v>
      </c>
      <c r="E61">
        <v>6</v>
      </c>
      <c r="F61" t="s">
        <v>31</v>
      </c>
      <c r="G61" s="5">
        <v>1.9348000000000001</v>
      </c>
      <c r="H61" s="5">
        <v>6.4222000000000001</v>
      </c>
      <c r="I61">
        <v>32</v>
      </c>
      <c r="J61">
        <v>24</v>
      </c>
      <c r="K61">
        <v>14.7</v>
      </c>
      <c r="L61">
        <v>7.84</v>
      </c>
      <c r="M61">
        <v>107.8</v>
      </c>
      <c r="N61">
        <v>8.33</v>
      </c>
      <c r="O61">
        <v>-67.7</v>
      </c>
      <c r="P61">
        <v>27</v>
      </c>
      <c r="Q61">
        <v>74.42</v>
      </c>
      <c r="R61">
        <v>7.48</v>
      </c>
      <c r="S61">
        <v>0.88</v>
      </c>
      <c r="T61">
        <v>78.06</v>
      </c>
      <c r="V61">
        <v>125.85</v>
      </c>
      <c r="W61">
        <v>153.94</v>
      </c>
      <c r="X61">
        <v>24.99</v>
      </c>
      <c r="Y61" s="4">
        <v>382202.13294807624</v>
      </c>
      <c r="Z61" s="4">
        <v>709998.33191742201</v>
      </c>
    </row>
    <row r="62" spans="1:26" x14ac:dyDescent="0.25">
      <c r="A62" s="1">
        <v>45391</v>
      </c>
      <c r="B62" s="6" t="str">
        <f t="shared" si="0"/>
        <v>04-09</v>
      </c>
      <c r="C62" s="1" t="str">
        <f t="shared" si="1"/>
        <v>GSP</v>
      </c>
      <c r="D62" s="2">
        <v>0.45694444444444443</v>
      </c>
      <c r="E62">
        <v>7</v>
      </c>
      <c r="F62" t="s">
        <v>22</v>
      </c>
      <c r="G62" s="5">
        <v>1.93618</v>
      </c>
      <c r="H62" s="5">
        <v>6.3917999999999999</v>
      </c>
      <c r="I62">
        <v>30.7</v>
      </c>
      <c r="J62">
        <v>48.1</v>
      </c>
      <c r="K62">
        <v>31.7</v>
      </c>
      <c r="L62">
        <v>6.43</v>
      </c>
      <c r="M62">
        <v>85.9</v>
      </c>
      <c r="N62">
        <v>7.95</v>
      </c>
      <c r="O62">
        <v>-47</v>
      </c>
      <c r="P62">
        <v>70.569999999999993</v>
      </c>
      <c r="Q62">
        <v>26.94</v>
      </c>
      <c r="R62">
        <v>7.12</v>
      </c>
      <c r="S62">
        <v>1.73</v>
      </c>
      <c r="T62">
        <v>51.76</v>
      </c>
      <c r="V62">
        <v>34.51</v>
      </c>
      <c r="W62">
        <v>153.94</v>
      </c>
      <c r="X62">
        <v>9.51</v>
      </c>
      <c r="Y62" s="4">
        <v>382769.63003693346</v>
      </c>
      <c r="Z62" s="4">
        <v>706304.35337691102</v>
      </c>
    </row>
    <row r="63" spans="1:26" x14ac:dyDescent="0.25">
      <c r="A63" s="1">
        <v>45391</v>
      </c>
      <c r="B63" s="6" t="str">
        <f t="shared" si="0"/>
        <v>04-09</v>
      </c>
      <c r="C63" s="1" t="str">
        <f t="shared" si="1"/>
        <v>GSP</v>
      </c>
      <c r="D63" s="2">
        <v>0.46319444444444446</v>
      </c>
      <c r="E63">
        <v>7</v>
      </c>
      <c r="F63" t="s">
        <v>23</v>
      </c>
      <c r="G63" s="5">
        <v>1.9513</v>
      </c>
      <c r="H63" s="5">
        <v>6.4095000000000004</v>
      </c>
      <c r="I63">
        <v>29.4</v>
      </c>
      <c r="J63">
        <v>28.4</v>
      </c>
      <c r="K63">
        <v>17.600000000000001</v>
      </c>
      <c r="L63">
        <v>7.98</v>
      </c>
      <c r="M63">
        <v>103.9</v>
      </c>
      <c r="N63">
        <v>8.52</v>
      </c>
      <c r="O63">
        <v>-77</v>
      </c>
      <c r="P63">
        <v>98</v>
      </c>
      <c r="Q63">
        <v>6.14</v>
      </c>
      <c r="R63">
        <v>4.22</v>
      </c>
      <c r="S63">
        <v>0.88</v>
      </c>
      <c r="T63">
        <v>52.85</v>
      </c>
      <c r="V63">
        <v>10.95</v>
      </c>
      <c r="W63">
        <v>286.73</v>
      </c>
      <c r="X63">
        <v>12.76</v>
      </c>
      <c r="Y63" s="4">
        <v>384024.1570784403</v>
      </c>
      <c r="Z63" s="4">
        <v>708590.42751502525</v>
      </c>
    </row>
    <row r="64" spans="1:26" x14ac:dyDescent="0.25">
      <c r="A64" s="1">
        <v>45391</v>
      </c>
      <c r="B64" s="6" t="str">
        <f t="shared" si="0"/>
        <v>04-09</v>
      </c>
      <c r="C64" s="1" t="str">
        <f t="shared" si="1"/>
        <v>GSP</v>
      </c>
      <c r="D64" s="2">
        <v>0.48680555555555555</v>
      </c>
      <c r="E64">
        <v>7</v>
      </c>
      <c r="F64" t="s">
        <v>24</v>
      </c>
      <c r="G64" s="5">
        <v>1.9669000000000001</v>
      </c>
      <c r="H64" s="5">
        <v>6.4546000000000001</v>
      </c>
      <c r="I64">
        <v>30.7</v>
      </c>
      <c r="J64">
        <v>14.15</v>
      </c>
      <c r="K64">
        <v>8.6</v>
      </c>
      <c r="L64">
        <v>7.37</v>
      </c>
      <c r="M64">
        <v>98.4</v>
      </c>
      <c r="N64">
        <v>8.4</v>
      </c>
      <c r="O64">
        <v>-78.8</v>
      </c>
      <c r="P64">
        <v>136</v>
      </c>
      <c r="Q64">
        <v>6.09</v>
      </c>
      <c r="R64">
        <v>1.34</v>
      </c>
      <c r="S64">
        <v>1.1599999999999999</v>
      </c>
      <c r="T64">
        <v>63.81</v>
      </c>
      <c r="V64">
        <v>214.44</v>
      </c>
      <c r="W64">
        <v>386.32</v>
      </c>
      <c r="X64">
        <v>13.24</v>
      </c>
      <c r="Y64" s="4">
        <v>385759.62074491731</v>
      </c>
      <c r="Z64" s="4">
        <v>713573.25678037247</v>
      </c>
    </row>
    <row r="65" spans="1:26" x14ac:dyDescent="0.25">
      <c r="A65" s="1">
        <v>45391</v>
      </c>
      <c r="B65" s="6" t="str">
        <f t="shared" si="0"/>
        <v>04-09</v>
      </c>
      <c r="C65" s="1" t="str">
        <f t="shared" si="1"/>
        <v>GSP</v>
      </c>
      <c r="D65" s="2">
        <v>0.50347222222222221</v>
      </c>
      <c r="E65">
        <v>7</v>
      </c>
      <c r="F65" t="s">
        <v>25</v>
      </c>
      <c r="G65" s="5">
        <v>1.9933000000000001</v>
      </c>
      <c r="H65" s="5">
        <v>6.5007000000000001</v>
      </c>
      <c r="I65">
        <v>30.8</v>
      </c>
      <c r="J65">
        <v>11.3</v>
      </c>
      <c r="K65">
        <v>6.5</v>
      </c>
      <c r="L65">
        <v>7.43</v>
      </c>
      <c r="M65">
        <v>99.6</v>
      </c>
      <c r="N65">
        <v>8.4600000000000009</v>
      </c>
      <c r="O65">
        <v>-73.5</v>
      </c>
      <c r="P65">
        <v>83</v>
      </c>
      <c r="Q65">
        <v>12.04</v>
      </c>
      <c r="R65">
        <v>3.2</v>
      </c>
      <c r="S65">
        <v>0.88</v>
      </c>
      <c r="T65">
        <v>58.33</v>
      </c>
      <c r="W65">
        <v>512.72</v>
      </c>
      <c r="X65">
        <v>19.36</v>
      </c>
      <c r="Y65" s="4">
        <v>388689.34009811806</v>
      </c>
      <c r="Z65" s="4">
        <v>718664.2720532401</v>
      </c>
    </row>
    <row r="66" spans="1:26" x14ac:dyDescent="0.25">
      <c r="A66" s="1">
        <v>45391</v>
      </c>
      <c r="B66" s="6" t="str">
        <f t="shared" si="0"/>
        <v>04-09</v>
      </c>
      <c r="C66" s="1" t="str">
        <f t="shared" si="1"/>
        <v>GSP</v>
      </c>
      <c r="D66" s="2">
        <v>0.51874999999999993</v>
      </c>
      <c r="E66">
        <v>7</v>
      </c>
      <c r="F66" t="s">
        <v>26</v>
      </c>
      <c r="G66" s="5">
        <v>1.984</v>
      </c>
      <c r="H66" s="5">
        <v>6.5294999999999996</v>
      </c>
      <c r="I66">
        <v>31</v>
      </c>
      <c r="J66">
        <v>10.050000000000001</v>
      </c>
      <c r="K66">
        <v>5.7</v>
      </c>
      <c r="L66">
        <v>7.53</v>
      </c>
      <c r="M66">
        <v>101.3</v>
      </c>
      <c r="N66">
        <v>8.5</v>
      </c>
      <c r="O66">
        <v>-76.2</v>
      </c>
      <c r="P66">
        <v>107</v>
      </c>
      <c r="Q66">
        <v>8.4600000000000009</v>
      </c>
      <c r="R66">
        <v>4.2699999999999996</v>
      </c>
      <c r="S66">
        <v>0.88</v>
      </c>
      <c r="T66">
        <v>66</v>
      </c>
      <c r="V66">
        <v>276.22000000000003</v>
      </c>
      <c r="W66">
        <v>496.12</v>
      </c>
      <c r="X66">
        <v>12.57</v>
      </c>
      <c r="Y66" s="4">
        <v>387667.34262385243</v>
      </c>
      <c r="Z66" s="4">
        <v>721850.49534728227</v>
      </c>
    </row>
    <row r="67" spans="1:26" x14ac:dyDescent="0.25">
      <c r="A67" s="1">
        <v>45391</v>
      </c>
      <c r="B67" s="6" t="str">
        <f t="shared" ref="B67:B130" si="2">TEXT(A67, "MM-JJ")</f>
        <v>04-09</v>
      </c>
      <c r="C67" s="1" t="str">
        <f t="shared" ref="C67:C130" si="3">IF(AND(B67&gt;="04-01", B67&lt;="07-01"), "GSP", IF(AND(B67&gt;="08-01", B67&lt;="09-01"), "PSS", IF(AND(B67&gt;="10-01", B67&lt;="11-01"), "PSP", "GSS")))</f>
        <v>GSP</v>
      </c>
      <c r="D67" s="2">
        <v>0.65208333333333335</v>
      </c>
      <c r="E67">
        <v>7</v>
      </c>
      <c r="F67" t="s">
        <v>27</v>
      </c>
      <c r="G67" s="5">
        <v>1.9822</v>
      </c>
      <c r="H67" s="5">
        <v>6.5602</v>
      </c>
      <c r="I67">
        <v>31.1</v>
      </c>
      <c r="J67">
        <v>6.69</v>
      </c>
      <c r="K67">
        <v>3.7</v>
      </c>
      <c r="L67">
        <v>8.06</v>
      </c>
      <c r="M67">
        <v>109</v>
      </c>
      <c r="N67">
        <v>8.66</v>
      </c>
      <c r="O67">
        <v>-85</v>
      </c>
      <c r="P67">
        <v>88</v>
      </c>
      <c r="Q67">
        <v>9.34</v>
      </c>
      <c r="R67">
        <v>3.2</v>
      </c>
      <c r="S67">
        <v>1.1599999999999999</v>
      </c>
      <c r="T67">
        <v>86.83</v>
      </c>
      <c r="V67">
        <v>341.09</v>
      </c>
      <c r="W67">
        <v>704.24</v>
      </c>
      <c r="X67">
        <v>13.24</v>
      </c>
      <c r="Y67" s="4">
        <v>387475.18079440482</v>
      </c>
      <c r="Z67" s="4">
        <v>725245.13735641493</v>
      </c>
    </row>
    <row r="68" spans="1:26" x14ac:dyDescent="0.25">
      <c r="A68" s="1">
        <v>45391</v>
      </c>
      <c r="B68" s="6" t="str">
        <f t="shared" si="2"/>
        <v>04-09</v>
      </c>
      <c r="C68" s="1" t="str">
        <f t="shared" si="3"/>
        <v>GSP</v>
      </c>
      <c r="D68" s="2">
        <v>0.66180555555555554</v>
      </c>
      <c r="E68">
        <v>7</v>
      </c>
      <c r="F68" t="s">
        <v>28</v>
      </c>
      <c r="G68" s="5">
        <v>1.9809000000000001</v>
      </c>
      <c r="H68" s="5">
        <v>6.5894000000000004</v>
      </c>
      <c r="I68">
        <v>31.3</v>
      </c>
      <c r="J68">
        <v>5.5</v>
      </c>
      <c r="K68">
        <v>3.2</v>
      </c>
      <c r="L68">
        <v>7.81</v>
      </c>
      <c r="M68">
        <v>105.7</v>
      </c>
      <c r="N68">
        <v>8.65</v>
      </c>
      <c r="O68">
        <v>-84.3</v>
      </c>
      <c r="P68">
        <v>46</v>
      </c>
      <c r="Q68">
        <v>24.6</v>
      </c>
      <c r="R68">
        <v>6.41</v>
      </c>
      <c r="S68">
        <v>1.1599999999999999</v>
      </c>
      <c r="T68">
        <v>89.02</v>
      </c>
      <c r="V68">
        <v>311.75</v>
      </c>
      <c r="W68">
        <v>623.79999999999995</v>
      </c>
      <c r="X68">
        <v>16.43</v>
      </c>
      <c r="Y68" s="4">
        <v>387338.0175576139</v>
      </c>
      <c r="Z68" s="4">
        <v>728473.83219849819</v>
      </c>
    </row>
    <row r="69" spans="1:26" x14ac:dyDescent="0.25">
      <c r="A69" s="1">
        <v>45391</v>
      </c>
      <c r="B69" s="6" t="str">
        <f t="shared" si="2"/>
        <v>04-09</v>
      </c>
      <c r="C69" s="1" t="str">
        <f t="shared" si="3"/>
        <v>GSP</v>
      </c>
      <c r="D69" s="2">
        <v>0.71111111111111114</v>
      </c>
      <c r="E69">
        <v>7</v>
      </c>
      <c r="F69" t="s">
        <v>29</v>
      </c>
      <c r="G69" s="5">
        <v>1.9655</v>
      </c>
      <c r="H69" s="5">
        <v>6.4878</v>
      </c>
      <c r="I69">
        <v>31.5</v>
      </c>
      <c r="J69">
        <v>13.42</v>
      </c>
      <c r="K69">
        <v>7.8</v>
      </c>
      <c r="L69">
        <v>7.93</v>
      </c>
      <c r="M69">
        <v>107.7</v>
      </c>
      <c r="N69">
        <v>8.5</v>
      </c>
      <c r="O69">
        <v>-75.2</v>
      </c>
      <c r="P69">
        <v>77</v>
      </c>
      <c r="Q69">
        <v>16.8</v>
      </c>
      <c r="R69">
        <v>2.14</v>
      </c>
      <c r="S69">
        <v>0.88</v>
      </c>
      <c r="T69">
        <v>72.58</v>
      </c>
      <c r="V69">
        <v>254.6</v>
      </c>
      <c r="W69">
        <v>524.21</v>
      </c>
      <c r="X69">
        <v>9.5399999999999991</v>
      </c>
      <c r="Y69" s="4">
        <v>385612.26229542762</v>
      </c>
      <c r="Z69" s="4">
        <v>717244.22352549795</v>
      </c>
    </row>
    <row r="70" spans="1:26" x14ac:dyDescent="0.25">
      <c r="A70" s="1">
        <v>45391</v>
      </c>
      <c r="B70" s="6" t="str">
        <f t="shared" si="2"/>
        <v>04-09</v>
      </c>
      <c r="C70" s="1" t="str">
        <f t="shared" si="3"/>
        <v>GSP</v>
      </c>
      <c r="D70" s="2">
        <v>0.72222222222222221</v>
      </c>
      <c r="E70">
        <v>7</v>
      </c>
      <c r="F70" t="s">
        <v>30</v>
      </c>
      <c r="G70" s="5">
        <v>1.9373</v>
      </c>
      <c r="H70" s="5">
        <v>6.4568000000000003</v>
      </c>
      <c r="I70">
        <v>32.5</v>
      </c>
      <c r="J70">
        <v>18.25</v>
      </c>
      <c r="K70">
        <v>11.4</v>
      </c>
      <c r="L70">
        <v>7.82</v>
      </c>
      <c r="M70">
        <v>108.1</v>
      </c>
      <c r="N70">
        <v>8.36</v>
      </c>
      <c r="O70">
        <v>-69.5</v>
      </c>
      <c r="P70">
        <v>65</v>
      </c>
      <c r="Q70">
        <v>36.9</v>
      </c>
      <c r="R70">
        <v>0</v>
      </c>
      <c r="S70">
        <v>0.88</v>
      </c>
      <c r="T70">
        <v>69.290000000000006</v>
      </c>
      <c r="V70">
        <v>219.85</v>
      </c>
      <c r="W70">
        <v>461.65</v>
      </c>
      <c r="X70">
        <v>13.24</v>
      </c>
      <c r="Y70" s="4">
        <v>382486.59163122613</v>
      </c>
      <c r="Z70" s="4">
        <v>713823.2259921059</v>
      </c>
    </row>
    <row r="71" spans="1:26" x14ac:dyDescent="0.25">
      <c r="A71" s="1">
        <v>45391</v>
      </c>
      <c r="B71" s="6" t="str">
        <f t="shared" si="2"/>
        <v>04-09</v>
      </c>
      <c r="C71" s="1" t="str">
        <f t="shared" si="3"/>
        <v>GSP</v>
      </c>
      <c r="D71" s="2">
        <v>0.7368055555555556</v>
      </c>
      <c r="E71">
        <v>7</v>
      </c>
      <c r="F71" t="s">
        <v>31</v>
      </c>
      <c r="G71" s="5">
        <v>1.9348000000000001</v>
      </c>
      <c r="H71" s="5">
        <v>6.4222000000000001</v>
      </c>
      <c r="I71">
        <v>33</v>
      </c>
      <c r="J71">
        <v>24.8</v>
      </c>
      <c r="K71">
        <v>15.2</v>
      </c>
      <c r="L71">
        <v>8.0399999999999991</v>
      </c>
      <c r="M71">
        <v>112.1</v>
      </c>
      <c r="N71">
        <v>8.4</v>
      </c>
      <c r="O71">
        <v>-71.5</v>
      </c>
      <c r="P71">
        <v>45</v>
      </c>
      <c r="Q71">
        <v>30.28</v>
      </c>
      <c r="R71">
        <v>8.5399999999999991</v>
      </c>
      <c r="S71">
        <v>1.44</v>
      </c>
      <c r="T71">
        <v>90.12</v>
      </c>
      <c r="V71">
        <v>172.74</v>
      </c>
      <c r="W71">
        <v>393.98</v>
      </c>
      <c r="X71">
        <v>25.18</v>
      </c>
      <c r="Y71" s="4">
        <v>382202.13294807624</v>
      </c>
      <c r="Z71" s="4">
        <v>709998.33191742201</v>
      </c>
    </row>
    <row r="72" spans="1:26" x14ac:dyDescent="0.25">
      <c r="A72" s="1">
        <v>45420</v>
      </c>
      <c r="B72" s="6" t="str">
        <f t="shared" si="2"/>
        <v>05-08</v>
      </c>
      <c r="C72" s="1" t="str">
        <f t="shared" si="3"/>
        <v>GSP</v>
      </c>
      <c r="D72" s="2">
        <v>0.43263888888888885</v>
      </c>
      <c r="E72">
        <v>8</v>
      </c>
      <c r="F72" t="s">
        <v>22</v>
      </c>
      <c r="G72" s="5">
        <v>1.93618</v>
      </c>
      <c r="H72" s="5">
        <v>6.3917999999999999</v>
      </c>
      <c r="I72">
        <v>30.6</v>
      </c>
      <c r="J72">
        <v>19.079999999999998</v>
      </c>
      <c r="K72">
        <v>11.4</v>
      </c>
      <c r="L72">
        <v>4.9000000000000004</v>
      </c>
      <c r="M72">
        <v>65.8</v>
      </c>
      <c r="N72">
        <v>7.24</v>
      </c>
      <c r="O72">
        <v>-12.4</v>
      </c>
      <c r="P72">
        <v>46</v>
      </c>
      <c r="Q72">
        <v>24.72</v>
      </c>
      <c r="R72">
        <v>2.14</v>
      </c>
      <c r="S72">
        <v>6.25</v>
      </c>
      <c r="T72">
        <v>87.92</v>
      </c>
      <c r="V72">
        <v>45.41</v>
      </c>
      <c r="W72">
        <v>161.6</v>
      </c>
      <c r="X72">
        <v>19.670000000000002</v>
      </c>
      <c r="Y72" s="4">
        <v>382769.63003693346</v>
      </c>
      <c r="Z72" s="4">
        <v>706304.35337691102</v>
      </c>
    </row>
    <row r="73" spans="1:26" x14ac:dyDescent="0.25">
      <c r="A73" s="1">
        <v>45420</v>
      </c>
      <c r="B73" s="6" t="str">
        <f t="shared" si="2"/>
        <v>05-08</v>
      </c>
      <c r="C73" s="1" t="str">
        <f t="shared" si="3"/>
        <v>GSP</v>
      </c>
      <c r="D73" s="2">
        <v>0.44097222222222227</v>
      </c>
      <c r="E73">
        <v>8</v>
      </c>
      <c r="F73" t="s">
        <v>23</v>
      </c>
      <c r="G73" s="5">
        <v>1.9513</v>
      </c>
      <c r="H73" s="5">
        <v>6.4095000000000004</v>
      </c>
      <c r="I73">
        <v>30.6</v>
      </c>
      <c r="J73">
        <v>17.91</v>
      </c>
      <c r="K73">
        <v>10.7</v>
      </c>
      <c r="L73">
        <v>6.94</v>
      </c>
      <c r="M73">
        <v>92.7</v>
      </c>
      <c r="N73">
        <v>7.99</v>
      </c>
      <c r="O73">
        <v>-49.6</v>
      </c>
      <c r="P73">
        <v>75</v>
      </c>
      <c r="Q73">
        <v>13.96</v>
      </c>
      <c r="R73">
        <v>5.34</v>
      </c>
      <c r="S73">
        <v>7.38</v>
      </c>
      <c r="T73">
        <v>165.74</v>
      </c>
      <c r="V73">
        <v>99.04</v>
      </c>
      <c r="W73">
        <v>193.52</v>
      </c>
      <c r="X73">
        <v>13.8</v>
      </c>
      <c r="Y73" s="4">
        <v>384024.1570784403</v>
      </c>
      <c r="Z73" s="4">
        <v>708590.42751502525</v>
      </c>
    </row>
    <row r="74" spans="1:26" x14ac:dyDescent="0.25">
      <c r="A74" s="1">
        <v>45420</v>
      </c>
      <c r="B74" s="6" t="str">
        <f t="shared" si="2"/>
        <v>05-08</v>
      </c>
      <c r="C74" s="1" t="str">
        <f t="shared" si="3"/>
        <v>GSP</v>
      </c>
      <c r="D74" s="2">
        <v>0.45763888888888887</v>
      </c>
      <c r="E74">
        <v>8</v>
      </c>
      <c r="F74" t="s">
        <v>24</v>
      </c>
      <c r="G74" s="5">
        <v>1.9669000000000001</v>
      </c>
      <c r="H74" s="5">
        <v>6.4546000000000001</v>
      </c>
      <c r="I74">
        <v>31</v>
      </c>
      <c r="J74">
        <v>14.85</v>
      </c>
      <c r="K74">
        <v>8.6999999999999993</v>
      </c>
      <c r="L74">
        <v>7.41</v>
      </c>
      <c r="M74">
        <v>95.2</v>
      </c>
      <c r="N74">
        <v>8.14</v>
      </c>
      <c r="O74">
        <v>-57.6</v>
      </c>
      <c r="P74">
        <v>125</v>
      </c>
      <c r="Q74">
        <v>8.8699999999999992</v>
      </c>
      <c r="R74">
        <v>2.14</v>
      </c>
      <c r="S74">
        <v>5.12</v>
      </c>
      <c r="T74">
        <v>80.25</v>
      </c>
      <c r="V74">
        <v>132.22999999999999</v>
      </c>
      <c r="W74">
        <v>164.15</v>
      </c>
      <c r="X74">
        <v>24.04</v>
      </c>
      <c r="Y74" s="4">
        <v>385759.62074491731</v>
      </c>
      <c r="Z74" s="4">
        <v>713573.25678037247</v>
      </c>
    </row>
    <row r="75" spans="1:26" x14ac:dyDescent="0.25">
      <c r="A75" s="1">
        <v>45420</v>
      </c>
      <c r="B75" s="6" t="str">
        <f t="shared" si="2"/>
        <v>05-08</v>
      </c>
      <c r="C75" s="1" t="str">
        <f t="shared" si="3"/>
        <v>GSP</v>
      </c>
      <c r="D75" s="2">
        <v>0.47152777777777777</v>
      </c>
      <c r="E75">
        <v>8</v>
      </c>
      <c r="F75" t="s">
        <v>25</v>
      </c>
      <c r="G75" s="5">
        <v>1.9933000000000001</v>
      </c>
      <c r="H75" s="5">
        <v>6.5007000000000001</v>
      </c>
      <c r="I75">
        <v>31</v>
      </c>
      <c r="J75">
        <v>11.56</v>
      </c>
      <c r="K75">
        <v>6.7</v>
      </c>
      <c r="L75">
        <v>7.36</v>
      </c>
      <c r="M75">
        <v>98.9</v>
      </c>
      <c r="N75">
        <v>8.26</v>
      </c>
      <c r="O75">
        <v>-63.1</v>
      </c>
      <c r="P75">
        <v>116</v>
      </c>
      <c r="Q75">
        <v>6.03</v>
      </c>
      <c r="R75">
        <v>1.07</v>
      </c>
      <c r="S75">
        <v>5.69</v>
      </c>
      <c r="T75">
        <v>35.32</v>
      </c>
      <c r="V75">
        <v>146.28</v>
      </c>
      <c r="W75">
        <v>199.9</v>
      </c>
      <c r="X75">
        <v>1.96</v>
      </c>
      <c r="Y75" s="4">
        <v>388689.34009811806</v>
      </c>
      <c r="Z75" s="4">
        <v>718664.2720532401</v>
      </c>
    </row>
    <row r="76" spans="1:26" x14ac:dyDescent="0.25">
      <c r="A76" s="1">
        <v>45420</v>
      </c>
      <c r="B76" s="6" t="str">
        <f t="shared" si="2"/>
        <v>05-08</v>
      </c>
      <c r="C76" s="1" t="str">
        <f t="shared" si="3"/>
        <v>GSP</v>
      </c>
      <c r="D76" s="2">
        <v>0.48055555555555557</v>
      </c>
      <c r="E76">
        <v>8</v>
      </c>
      <c r="F76" t="s">
        <v>26</v>
      </c>
      <c r="G76" s="5">
        <v>1.984</v>
      </c>
      <c r="H76" s="5">
        <v>6.5294999999999996</v>
      </c>
      <c r="I76">
        <v>31</v>
      </c>
      <c r="J76">
        <v>9.18</v>
      </c>
      <c r="K76">
        <v>5.2</v>
      </c>
      <c r="L76">
        <v>7.47</v>
      </c>
      <c r="M76">
        <v>100.4</v>
      </c>
      <c r="N76">
        <v>8.31</v>
      </c>
      <c r="O76">
        <v>-65.599999999999994</v>
      </c>
      <c r="P76">
        <v>114</v>
      </c>
      <c r="Q76">
        <v>6.35</v>
      </c>
      <c r="R76">
        <v>3.2</v>
      </c>
      <c r="S76">
        <v>5.4</v>
      </c>
      <c r="T76">
        <v>61.62</v>
      </c>
      <c r="V76">
        <v>161.6</v>
      </c>
      <c r="W76">
        <v>190.97</v>
      </c>
      <c r="X76">
        <v>15.63</v>
      </c>
      <c r="Y76" s="4">
        <v>387667.34262385243</v>
      </c>
      <c r="Z76" s="4">
        <v>721850.49534728227</v>
      </c>
    </row>
    <row r="77" spans="1:26" x14ac:dyDescent="0.25">
      <c r="A77" s="1">
        <v>45420</v>
      </c>
      <c r="B77" s="6" t="str">
        <f t="shared" si="2"/>
        <v>05-08</v>
      </c>
      <c r="C77" s="1" t="str">
        <f t="shared" si="3"/>
        <v>GSP</v>
      </c>
      <c r="D77" s="2">
        <v>0.48958333333333331</v>
      </c>
      <c r="E77">
        <v>8</v>
      </c>
      <c r="F77" t="s">
        <v>27</v>
      </c>
      <c r="G77" s="5">
        <v>1.9822</v>
      </c>
      <c r="H77" s="5">
        <v>6.5602</v>
      </c>
      <c r="I77">
        <v>31.2</v>
      </c>
      <c r="J77">
        <v>7.2</v>
      </c>
      <c r="K77">
        <v>4</v>
      </c>
      <c r="L77">
        <v>7.3</v>
      </c>
      <c r="M77">
        <v>98.4</v>
      </c>
      <c r="N77">
        <v>8.31</v>
      </c>
      <c r="O77">
        <v>-66.3</v>
      </c>
      <c r="P77">
        <v>90</v>
      </c>
      <c r="Q77">
        <v>7.95</v>
      </c>
      <c r="R77">
        <v>3.2</v>
      </c>
      <c r="S77">
        <v>7.38</v>
      </c>
      <c r="T77">
        <v>73.680000000000007</v>
      </c>
      <c r="V77">
        <v>166.71</v>
      </c>
      <c r="W77">
        <v>182.03</v>
      </c>
      <c r="X77">
        <v>17.829999999999998</v>
      </c>
      <c r="Y77" s="4">
        <v>387475.18079440482</v>
      </c>
      <c r="Z77" s="4">
        <v>725245.13735641493</v>
      </c>
    </row>
    <row r="78" spans="1:26" x14ac:dyDescent="0.25">
      <c r="A78" s="1">
        <v>45420</v>
      </c>
      <c r="B78" s="6" t="str">
        <f t="shared" si="2"/>
        <v>05-08</v>
      </c>
      <c r="C78" s="1" t="str">
        <f t="shared" si="3"/>
        <v>GSP</v>
      </c>
      <c r="D78" s="2">
        <v>0.49861111111111112</v>
      </c>
      <c r="E78">
        <v>8</v>
      </c>
      <c r="F78" t="s">
        <v>28</v>
      </c>
      <c r="G78" s="5">
        <v>1.9809000000000001</v>
      </c>
      <c r="H78" s="5">
        <v>6.5894000000000004</v>
      </c>
      <c r="I78">
        <v>31</v>
      </c>
      <c r="J78">
        <v>4.49</v>
      </c>
      <c r="K78">
        <v>2.4</v>
      </c>
      <c r="L78">
        <v>6.5</v>
      </c>
      <c r="M78">
        <v>87.3</v>
      </c>
      <c r="N78">
        <v>7.98</v>
      </c>
      <c r="O78">
        <v>-48.3</v>
      </c>
      <c r="P78">
        <v>60</v>
      </c>
      <c r="Q78">
        <v>15.04</v>
      </c>
      <c r="R78">
        <v>2.14</v>
      </c>
      <c r="S78">
        <v>7.95</v>
      </c>
      <c r="T78">
        <v>147.11000000000001</v>
      </c>
      <c r="V78">
        <v>166.71</v>
      </c>
      <c r="W78">
        <v>193.52</v>
      </c>
      <c r="X78">
        <v>14.04</v>
      </c>
      <c r="Y78" s="4">
        <v>387338.0175576139</v>
      </c>
      <c r="Z78" s="4">
        <v>728473.83219849819</v>
      </c>
    </row>
    <row r="79" spans="1:26" x14ac:dyDescent="0.25">
      <c r="A79" s="1">
        <v>45420</v>
      </c>
      <c r="B79" s="6" t="str">
        <f t="shared" si="2"/>
        <v>05-08</v>
      </c>
      <c r="C79" s="1" t="str">
        <f t="shared" si="3"/>
        <v>GSP</v>
      </c>
      <c r="D79" s="2">
        <v>0.54305555555555551</v>
      </c>
      <c r="E79">
        <v>8</v>
      </c>
      <c r="F79" t="s">
        <v>29</v>
      </c>
      <c r="G79" s="5">
        <v>1.9655</v>
      </c>
      <c r="H79" s="5">
        <v>6.4878</v>
      </c>
      <c r="I79">
        <v>31.5</v>
      </c>
      <c r="J79">
        <v>13.17</v>
      </c>
      <c r="K79">
        <v>7.7</v>
      </c>
      <c r="L79">
        <v>7.36</v>
      </c>
      <c r="M79">
        <v>99.9</v>
      </c>
      <c r="N79">
        <v>8.15</v>
      </c>
      <c r="O79">
        <v>-57.9</v>
      </c>
      <c r="P79">
        <v>133</v>
      </c>
      <c r="Q79">
        <v>4.8</v>
      </c>
      <c r="R79">
        <v>0</v>
      </c>
      <c r="S79">
        <v>3.71</v>
      </c>
      <c r="T79">
        <v>87.92</v>
      </c>
      <c r="V79">
        <v>142.44999999999999</v>
      </c>
      <c r="W79">
        <v>153.94</v>
      </c>
      <c r="X79">
        <v>13.52</v>
      </c>
      <c r="Y79" s="4">
        <v>385612.26229542762</v>
      </c>
      <c r="Z79" s="4">
        <v>717244.22352549795</v>
      </c>
    </row>
    <row r="80" spans="1:26" x14ac:dyDescent="0.25">
      <c r="A80" s="1">
        <v>45420</v>
      </c>
      <c r="B80" s="6" t="str">
        <f t="shared" si="2"/>
        <v>05-08</v>
      </c>
      <c r="C80" s="1" t="str">
        <f t="shared" si="3"/>
        <v>GSP</v>
      </c>
      <c r="D80" s="2">
        <v>0.55555555555555558</v>
      </c>
      <c r="E80">
        <v>8</v>
      </c>
      <c r="F80" t="s">
        <v>30</v>
      </c>
      <c r="G80" s="5">
        <v>1.9373</v>
      </c>
      <c r="H80" s="5">
        <v>6.4568000000000003</v>
      </c>
      <c r="I80">
        <v>31.5</v>
      </c>
      <c r="J80">
        <v>17.12</v>
      </c>
      <c r="K80">
        <v>9.5</v>
      </c>
      <c r="L80">
        <v>7.66</v>
      </c>
      <c r="M80">
        <v>104.2</v>
      </c>
      <c r="N80">
        <v>8.1300000000000008</v>
      </c>
      <c r="O80">
        <v>-56.2</v>
      </c>
      <c r="P80">
        <v>82</v>
      </c>
      <c r="Q80">
        <v>10.4</v>
      </c>
      <c r="R80">
        <v>8.5399999999999991</v>
      </c>
      <c r="S80">
        <v>6.25</v>
      </c>
      <c r="T80">
        <v>51.76</v>
      </c>
      <c r="V80">
        <v>119.47</v>
      </c>
      <c r="W80">
        <v>151.38999999999999</v>
      </c>
      <c r="X80">
        <v>17.309999999999999</v>
      </c>
      <c r="Y80" s="4">
        <v>382486.59163122613</v>
      </c>
      <c r="Z80" s="4">
        <v>713823.2259921059</v>
      </c>
    </row>
    <row r="81" spans="1:26" x14ac:dyDescent="0.25">
      <c r="A81" s="1">
        <v>45420</v>
      </c>
      <c r="B81" s="6" t="str">
        <f t="shared" si="2"/>
        <v>05-08</v>
      </c>
      <c r="C81" s="1" t="str">
        <f t="shared" si="3"/>
        <v>GSP</v>
      </c>
      <c r="D81" s="2">
        <v>0.56458333333333333</v>
      </c>
      <c r="E81">
        <v>8</v>
      </c>
      <c r="F81" t="s">
        <v>31</v>
      </c>
      <c r="G81" s="5">
        <v>1.9348000000000001</v>
      </c>
      <c r="H81" s="5">
        <v>6.4222000000000001</v>
      </c>
      <c r="I81">
        <v>32.5</v>
      </c>
      <c r="J81">
        <v>18.36</v>
      </c>
      <c r="K81">
        <v>11</v>
      </c>
      <c r="L81">
        <v>7.16</v>
      </c>
      <c r="M81">
        <v>99.8</v>
      </c>
      <c r="N81">
        <v>8.01</v>
      </c>
      <c r="O81">
        <v>-50.1</v>
      </c>
      <c r="P81">
        <v>29</v>
      </c>
      <c r="Q81">
        <v>56.4</v>
      </c>
      <c r="R81">
        <v>6.41</v>
      </c>
      <c r="S81">
        <v>5.4</v>
      </c>
      <c r="T81">
        <v>99.98</v>
      </c>
      <c r="V81">
        <v>88.82</v>
      </c>
      <c r="W81">
        <v>123.3</v>
      </c>
      <c r="X81">
        <v>18.32</v>
      </c>
      <c r="Y81" s="4">
        <v>382202.13294807624</v>
      </c>
      <c r="Z81" s="4">
        <v>709998.33191742201</v>
      </c>
    </row>
    <row r="82" spans="1:26" x14ac:dyDescent="0.25">
      <c r="A82" s="1">
        <v>45449</v>
      </c>
      <c r="B82" s="6" t="str">
        <f t="shared" si="2"/>
        <v>06-06</v>
      </c>
      <c r="C82" s="1" t="str">
        <f t="shared" si="3"/>
        <v>GSP</v>
      </c>
      <c r="D82" s="2">
        <v>0.3888888888888889</v>
      </c>
      <c r="E82">
        <v>9</v>
      </c>
      <c r="F82" t="s">
        <v>22</v>
      </c>
      <c r="G82" s="5">
        <v>1.93618</v>
      </c>
      <c r="H82" s="5">
        <v>6.3917999999999999</v>
      </c>
      <c r="I82">
        <v>30</v>
      </c>
      <c r="J82">
        <v>14.5</v>
      </c>
      <c r="K82">
        <v>8.5</v>
      </c>
      <c r="L82">
        <v>6.18</v>
      </c>
      <c r="M82">
        <v>80.8</v>
      </c>
      <c r="N82">
        <v>8.01</v>
      </c>
      <c r="P82">
        <v>20</v>
      </c>
      <c r="Q82">
        <v>27.34</v>
      </c>
      <c r="R82">
        <v>3.2</v>
      </c>
      <c r="S82">
        <v>1.73</v>
      </c>
      <c r="T82">
        <v>51.18</v>
      </c>
      <c r="V82">
        <v>35.28</v>
      </c>
      <c r="W82">
        <v>63.85</v>
      </c>
      <c r="X82">
        <v>37.630000000000003</v>
      </c>
      <c r="Y82" s="4">
        <v>382769.63003693346</v>
      </c>
      <c r="Z82" s="4">
        <v>706304.35337691102</v>
      </c>
    </row>
    <row r="83" spans="1:26" x14ac:dyDescent="0.25">
      <c r="A83" s="1">
        <v>45449</v>
      </c>
      <c r="B83" s="6" t="str">
        <f t="shared" si="2"/>
        <v>06-06</v>
      </c>
      <c r="C83" s="1" t="str">
        <f t="shared" si="3"/>
        <v>GSP</v>
      </c>
      <c r="D83" s="2">
        <v>0.40486111111111112</v>
      </c>
      <c r="E83">
        <v>9</v>
      </c>
      <c r="F83" t="s">
        <v>23</v>
      </c>
      <c r="G83" s="5">
        <v>1.9513</v>
      </c>
      <c r="H83" s="5">
        <v>6.4095000000000004</v>
      </c>
      <c r="I83">
        <v>29.9</v>
      </c>
      <c r="J83">
        <v>14.09</v>
      </c>
      <c r="K83">
        <v>8.1999999999999993</v>
      </c>
      <c r="L83">
        <v>7.15</v>
      </c>
      <c r="M83">
        <v>93.8</v>
      </c>
      <c r="N83">
        <v>8.32</v>
      </c>
      <c r="P83">
        <v>90</v>
      </c>
      <c r="Q83">
        <v>11.16</v>
      </c>
      <c r="R83">
        <v>1.07</v>
      </c>
      <c r="S83">
        <v>1.44</v>
      </c>
      <c r="T83">
        <v>51.46</v>
      </c>
      <c r="V83">
        <v>49.95</v>
      </c>
      <c r="W83">
        <v>72.349999999999994</v>
      </c>
      <c r="X83">
        <v>28.13</v>
      </c>
      <c r="Y83" s="4">
        <v>384024.1570784403</v>
      </c>
      <c r="Z83" s="4">
        <v>708590.42751502525</v>
      </c>
    </row>
    <row r="84" spans="1:26" x14ac:dyDescent="0.25">
      <c r="A84" s="1">
        <v>45449</v>
      </c>
      <c r="B84" s="6" t="str">
        <f t="shared" si="2"/>
        <v>06-06</v>
      </c>
      <c r="C84" s="1" t="str">
        <f t="shared" si="3"/>
        <v>GSP</v>
      </c>
      <c r="D84" s="2">
        <v>0.4201388888888889</v>
      </c>
      <c r="E84">
        <v>9</v>
      </c>
      <c r="F84" t="s">
        <v>24</v>
      </c>
      <c r="G84" s="5">
        <v>1.9669000000000001</v>
      </c>
      <c r="H84" s="5">
        <v>6.4546000000000001</v>
      </c>
      <c r="I84">
        <v>29.9</v>
      </c>
      <c r="J84">
        <v>13.08</v>
      </c>
      <c r="K84">
        <v>7.6</v>
      </c>
      <c r="L84">
        <v>7.01</v>
      </c>
      <c r="M84">
        <v>92.1</v>
      </c>
      <c r="N84">
        <v>7.96</v>
      </c>
      <c r="P84">
        <v>116</v>
      </c>
      <c r="Q84">
        <v>7.54</v>
      </c>
      <c r="R84">
        <v>2.14</v>
      </c>
      <c r="S84">
        <v>2.0099999999999998</v>
      </c>
      <c r="T84">
        <v>64.989999999999995</v>
      </c>
      <c r="V84">
        <v>66.17</v>
      </c>
      <c r="W84">
        <v>82.39</v>
      </c>
      <c r="X84">
        <v>34.15</v>
      </c>
      <c r="Y84" s="4">
        <v>385759.62074491731</v>
      </c>
      <c r="Z84" s="4">
        <v>713573.25678037247</v>
      </c>
    </row>
    <row r="85" spans="1:26" x14ac:dyDescent="0.25">
      <c r="A85" s="1">
        <v>45449</v>
      </c>
      <c r="B85" s="6" t="str">
        <f t="shared" si="2"/>
        <v>06-06</v>
      </c>
      <c r="C85" s="1" t="str">
        <f t="shared" si="3"/>
        <v>GSP</v>
      </c>
      <c r="D85" s="2">
        <v>0.4381944444444445</v>
      </c>
      <c r="E85">
        <v>9</v>
      </c>
      <c r="F85" t="s">
        <v>25</v>
      </c>
      <c r="G85" s="5">
        <v>1.9933000000000001</v>
      </c>
      <c r="H85" s="5">
        <v>6.5007000000000001</v>
      </c>
      <c r="I85">
        <v>29.9</v>
      </c>
      <c r="J85">
        <v>9.82</v>
      </c>
      <c r="K85">
        <v>5.6</v>
      </c>
      <c r="L85">
        <v>7.18</v>
      </c>
      <c r="M85">
        <v>94.4</v>
      </c>
      <c r="N85">
        <v>7.85</v>
      </c>
      <c r="P85">
        <v>114</v>
      </c>
      <c r="Q85">
        <v>9.7100000000000009</v>
      </c>
      <c r="R85">
        <v>2.14</v>
      </c>
      <c r="S85">
        <v>2.0099999999999998</v>
      </c>
      <c r="T85">
        <v>48.36</v>
      </c>
      <c r="V85">
        <v>74.66</v>
      </c>
      <c r="W85">
        <v>160.38999999999999</v>
      </c>
      <c r="X85">
        <v>34.47</v>
      </c>
      <c r="Y85" s="4">
        <v>388689.34009811806</v>
      </c>
      <c r="Z85" s="4">
        <v>718664.2720532401</v>
      </c>
    </row>
    <row r="86" spans="1:26" x14ac:dyDescent="0.25">
      <c r="A86" s="1">
        <v>45449</v>
      </c>
      <c r="B86" s="6" t="str">
        <f t="shared" si="2"/>
        <v>06-06</v>
      </c>
      <c r="C86" s="1" t="str">
        <f t="shared" si="3"/>
        <v>GSP</v>
      </c>
      <c r="D86" s="2">
        <v>0.44722222222222219</v>
      </c>
      <c r="E86">
        <v>9</v>
      </c>
      <c r="F86" t="s">
        <v>26</v>
      </c>
      <c r="G86" s="5">
        <v>1.984</v>
      </c>
      <c r="H86" s="5">
        <v>6.5294999999999996</v>
      </c>
      <c r="I86">
        <v>29.9</v>
      </c>
      <c r="J86">
        <v>6.34</v>
      </c>
      <c r="K86">
        <v>3.5</v>
      </c>
      <c r="L86">
        <v>7.28</v>
      </c>
      <c r="M86">
        <v>95.5</v>
      </c>
      <c r="P86">
        <v>117</v>
      </c>
      <c r="Q86">
        <v>7.13</v>
      </c>
      <c r="R86">
        <v>3.2</v>
      </c>
      <c r="S86">
        <v>2.29</v>
      </c>
      <c r="T86">
        <v>74.3</v>
      </c>
      <c r="V86">
        <v>84.7</v>
      </c>
      <c r="W86">
        <v>169.65</v>
      </c>
      <c r="X86">
        <v>36.06</v>
      </c>
      <c r="Y86" s="4">
        <v>387667.34262385243</v>
      </c>
      <c r="Z86" s="4">
        <v>721850.49534728227</v>
      </c>
    </row>
    <row r="87" spans="1:26" x14ac:dyDescent="0.25">
      <c r="A87" s="1">
        <v>45449</v>
      </c>
      <c r="B87" s="6" t="str">
        <f t="shared" si="2"/>
        <v>06-06</v>
      </c>
      <c r="C87" s="1" t="str">
        <f t="shared" si="3"/>
        <v>GSP</v>
      </c>
      <c r="D87" s="2">
        <v>0.46111111111111108</v>
      </c>
      <c r="E87">
        <v>9</v>
      </c>
      <c r="F87" t="s">
        <v>27</v>
      </c>
      <c r="G87" s="5">
        <v>1.9822</v>
      </c>
      <c r="H87" s="5">
        <v>6.5602</v>
      </c>
      <c r="I87">
        <v>30.3</v>
      </c>
      <c r="J87">
        <v>3.6</v>
      </c>
      <c r="K87">
        <v>1.9</v>
      </c>
      <c r="L87">
        <v>6.76</v>
      </c>
      <c r="M87">
        <v>89.6</v>
      </c>
      <c r="P87">
        <v>78</v>
      </c>
      <c r="Q87">
        <v>15.14</v>
      </c>
      <c r="R87">
        <v>6.41</v>
      </c>
      <c r="S87">
        <v>3.14</v>
      </c>
      <c r="T87">
        <v>65.56</v>
      </c>
      <c r="V87">
        <v>86.25</v>
      </c>
      <c r="W87">
        <v>97.06</v>
      </c>
      <c r="X87">
        <v>21.78</v>
      </c>
      <c r="Y87" s="4">
        <v>387475.18079440482</v>
      </c>
      <c r="Z87" s="4">
        <v>725245.13735641493</v>
      </c>
    </row>
    <row r="88" spans="1:26" x14ac:dyDescent="0.25">
      <c r="A88" s="1">
        <v>45449</v>
      </c>
      <c r="B88" s="6" t="str">
        <f t="shared" si="2"/>
        <v>06-06</v>
      </c>
      <c r="C88" s="1" t="str">
        <f t="shared" si="3"/>
        <v>GSP</v>
      </c>
      <c r="D88" s="2">
        <v>0.52083333333333337</v>
      </c>
      <c r="E88">
        <v>9</v>
      </c>
      <c r="F88" t="s">
        <v>28</v>
      </c>
      <c r="G88" s="5">
        <v>1.9809000000000001</v>
      </c>
      <c r="H88" s="5">
        <v>6.5894000000000004</v>
      </c>
      <c r="I88">
        <v>33</v>
      </c>
      <c r="J88">
        <v>10.74</v>
      </c>
      <c r="K88">
        <v>0.5</v>
      </c>
      <c r="L88">
        <v>3.34</v>
      </c>
      <c r="M88">
        <v>71.599999999999994</v>
      </c>
      <c r="P88">
        <v>72</v>
      </c>
      <c r="Q88">
        <v>17</v>
      </c>
      <c r="R88">
        <v>3.2</v>
      </c>
      <c r="S88">
        <v>6.53</v>
      </c>
      <c r="T88">
        <v>65.84</v>
      </c>
      <c r="V88">
        <v>128.72</v>
      </c>
      <c r="W88">
        <v>313.29000000000002</v>
      </c>
      <c r="X88">
        <v>23.26</v>
      </c>
      <c r="Y88" s="4">
        <v>387338.0175576139</v>
      </c>
      <c r="Z88" s="4">
        <v>728473.83219849819</v>
      </c>
    </row>
    <row r="89" spans="1:26" x14ac:dyDescent="0.25">
      <c r="A89" s="1">
        <v>45449</v>
      </c>
      <c r="B89" s="6" t="str">
        <f t="shared" si="2"/>
        <v>06-06</v>
      </c>
      <c r="C89" s="1" t="str">
        <f t="shared" si="3"/>
        <v>GSP</v>
      </c>
      <c r="D89" s="2">
        <v>0.54305555555555551</v>
      </c>
      <c r="E89">
        <v>9</v>
      </c>
      <c r="F89" t="s">
        <v>29</v>
      </c>
      <c r="G89" s="5">
        <v>1.9655</v>
      </c>
      <c r="H89" s="5">
        <v>6.4878</v>
      </c>
      <c r="I89">
        <v>30.7</v>
      </c>
      <c r="J89">
        <v>12.1</v>
      </c>
      <c r="K89">
        <v>6.9</v>
      </c>
      <c r="L89">
        <v>7.51</v>
      </c>
      <c r="M89">
        <v>100.3</v>
      </c>
      <c r="P89">
        <v>96</v>
      </c>
      <c r="Q89">
        <v>9.5500000000000007</v>
      </c>
      <c r="R89">
        <v>1.07</v>
      </c>
      <c r="S89">
        <v>1.73</v>
      </c>
      <c r="T89">
        <v>51.74</v>
      </c>
      <c r="V89">
        <v>129.49</v>
      </c>
      <c r="W89">
        <v>151.12</v>
      </c>
      <c r="X89">
        <v>37.909999999999997</v>
      </c>
      <c r="Y89" s="4">
        <v>385612.26229542762</v>
      </c>
      <c r="Z89" s="4">
        <v>717244.22352549795</v>
      </c>
    </row>
    <row r="90" spans="1:26" x14ac:dyDescent="0.25">
      <c r="A90" s="1">
        <v>45449</v>
      </c>
      <c r="B90" s="6" t="str">
        <f t="shared" si="2"/>
        <v>06-06</v>
      </c>
      <c r="C90" s="1" t="str">
        <f t="shared" si="3"/>
        <v>GSP</v>
      </c>
      <c r="D90" s="2">
        <v>0.5756944444444444</v>
      </c>
      <c r="E90">
        <v>9</v>
      </c>
      <c r="F90" t="s">
        <v>30</v>
      </c>
      <c r="G90" s="5">
        <v>1.9373</v>
      </c>
      <c r="H90" s="5">
        <v>6.4568000000000003</v>
      </c>
      <c r="I90">
        <v>30.4</v>
      </c>
      <c r="J90">
        <v>13.26</v>
      </c>
      <c r="K90">
        <v>7.7</v>
      </c>
      <c r="L90">
        <v>7.82</v>
      </c>
      <c r="M90">
        <v>104.1</v>
      </c>
      <c r="P90">
        <v>64</v>
      </c>
      <c r="Q90">
        <v>18.14</v>
      </c>
      <c r="R90">
        <v>4.2699999999999996</v>
      </c>
      <c r="S90">
        <v>2.29</v>
      </c>
      <c r="T90">
        <v>63.3</v>
      </c>
      <c r="V90">
        <v>61.54</v>
      </c>
      <c r="W90">
        <v>137.22</v>
      </c>
      <c r="X90">
        <v>32.72</v>
      </c>
      <c r="Y90" s="4">
        <v>382486.59163122613</v>
      </c>
      <c r="Z90" s="4">
        <v>713823.2259921059</v>
      </c>
    </row>
    <row r="91" spans="1:26" x14ac:dyDescent="0.25">
      <c r="A91" s="1">
        <v>45449</v>
      </c>
      <c r="B91" s="6" t="str">
        <f t="shared" si="2"/>
        <v>06-06</v>
      </c>
      <c r="C91" s="1" t="str">
        <f t="shared" si="3"/>
        <v>GSP</v>
      </c>
      <c r="D91" s="2">
        <v>0.58333333333333337</v>
      </c>
      <c r="E91">
        <v>9</v>
      </c>
      <c r="F91" t="s">
        <v>31</v>
      </c>
      <c r="G91" s="5">
        <v>1.9348000000000001</v>
      </c>
      <c r="H91" s="5">
        <v>6.4222000000000001</v>
      </c>
      <c r="I91">
        <v>31.7</v>
      </c>
      <c r="J91">
        <v>13.7</v>
      </c>
      <c r="K91">
        <v>8</v>
      </c>
      <c r="L91">
        <v>7.48</v>
      </c>
      <c r="M91">
        <v>101.2</v>
      </c>
      <c r="P91">
        <v>47</v>
      </c>
      <c r="Q91">
        <v>39.659999999999997</v>
      </c>
      <c r="R91">
        <v>3.2</v>
      </c>
      <c r="S91">
        <v>4.84</v>
      </c>
      <c r="T91">
        <v>82.19</v>
      </c>
      <c r="V91">
        <v>36.82</v>
      </c>
      <c r="W91">
        <v>66.17</v>
      </c>
      <c r="X91">
        <v>28.13</v>
      </c>
      <c r="Y91" s="4">
        <v>382202.13294807624</v>
      </c>
      <c r="Z91" s="4">
        <v>709998.33191742201</v>
      </c>
    </row>
    <row r="92" spans="1:26" x14ac:dyDescent="0.25">
      <c r="A92" s="1">
        <v>45482</v>
      </c>
      <c r="B92" s="6" t="str">
        <f t="shared" si="2"/>
        <v>07-09</v>
      </c>
      <c r="C92" s="1" t="str">
        <f t="shared" si="3"/>
        <v>GSS</v>
      </c>
      <c r="D92" s="2">
        <v>0.43055555555555558</v>
      </c>
      <c r="E92">
        <v>10</v>
      </c>
      <c r="F92" t="s">
        <v>22</v>
      </c>
      <c r="G92" s="5">
        <v>1.93618</v>
      </c>
      <c r="H92" s="5">
        <v>6.3917999999999999</v>
      </c>
      <c r="I92">
        <v>27.4</v>
      </c>
      <c r="J92">
        <v>6.86</v>
      </c>
      <c r="K92">
        <v>3.8</v>
      </c>
      <c r="L92">
        <v>7.23</v>
      </c>
      <c r="M92">
        <v>91.1</v>
      </c>
      <c r="N92">
        <v>8</v>
      </c>
      <c r="P92">
        <v>52</v>
      </c>
      <c r="Q92">
        <v>24.42</v>
      </c>
      <c r="R92">
        <v>6.41</v>
      </c>
      <c r="S92">
        <v>2.29</v>
      </c>
      <c r="T92">
        <v>80.25</v>
      </c>
      <c r="U92">
        <v>0.19</v>
      </c>
      <c r="V92">
        <v>100.31</v>
      </c>
      <c r="W92">
        <v>148.83000000000001</v>
      </c>
      <c r="X92">
        <v>8.75</v>
      </c>
      <c r="Y92" s="4">
        <v>382769.63003693346</v>
      </c>
      <c r="Z92" s="4">
        <v>706304.35337691102</v>
      </c>
    </row>
    <row r="93" spans="1:26" x14ac:dyDescent="0.25">
      <c r="A93" s="1">
        <v>45482</v>
      </c>
      <c r="B93" s="6" t="str">
        <f t="shared" si="2"/>
        <v>07-09</v>
      </c>
      <c r="C93" s="1" t="str">
        <f t="shared" si="3"/>
        <v>GSS</v>
      </c>
      <c r="D93" s="2">
        <v>0.45277777777777778</v>
      </c>
      <c r="E93">
        <v>10</v>
      </c>
      <c r="F93" t="s">
        <v>23</v>
      </c>
      <c r="G93" s="5">
        <v>1.9513</v>
      </c>
      <c r="H93" s="5">
        <v>6.4095000000000004</v>
      </c>
      <c r="I93">
        <v>27.4</v>
      </c>
      <c r="J93">
        <v>6.66</v>
      </c>
      <c r="K93">
        <v>3.7</v>
      </c>
      <c r="L93">
        <v>7.74</v>
      </c>
      <c r="M93">
        <v>97.5</v>
      </c>
      <c r="N93">
        <v>8.1199999999999992</v>
      </c>
      <c r="P93">
        <v>67</v>
      </c>
      <c r="Q93">
        <v>17.62</v>
      </c>
      <c r="R93">
        <v>6.41</v>
      </c>
      <c r="S93">
        <v>1.44</v>
      </c>
      <c r="T93">
        <v>75.87</v>
      </c>
      <c r="U93">
        <v>0.15</v>
      </c>
      <c r="V93">
        <v>127.13</v>
      </c>
      <c r="W93">
        <v>153.94</v>
      </c>
      <c r="X93">
        <v>7.19</v>
      </c>
      <c r="Y93" s="4">
        <v>384024.1570784403</v>
      </c>
      <c r="Z93" s="4">
        <v>708590.42751502525</v>
      </c>
    </row>
    <row r="94" spans="1:26" x14ac:dyDescent="0.25">
      <c r="A94" s="1">
        <v>45482</v>
      </c>
      <c r="B94" s="6" t="str">
        <f t="shared" si="2"/>
        <v>07-09</v>
      </c>
      <c r="C94" s="1" t="str">
        <f t="shared" si="3"/>
        <v>GSS</v>
      </c>
      <c r="D94" s="2">
        <v>0.46597222222222223</v>
      </c>
      <c r="E94">
        <v>10</v>
      </c>
      <c r="F94" t="s">
        <v>24</v>
      </c>
      <c r="G94" s="5">
        <v>1.9669000000000001</v>
      </c>
      <c r="H94" s="5">
        <v>6.4546000000000001</v>
      </c>
      <c r="I94">
        <v>27.5</v>
      </c>
      <c r="J94">
        <v>6.33</v>
      </c>
      <c r="K94">
        <v>3.5</v>
      </c>
      <c r="L94">
        <v>7.77</v>
      </c>
      <c r="M94">
        <v>97.2</v>
      </c>
      <c r="N94">
        <v>8.08</v>
      </c>
      <c r="P94">
        <v>66</v>
      </c>
      <c r="Q94">
        <v>18.96</v>
      </c>
      <c r="R94">
        <v>3.2</v>
      </c>
      <c r="S94">
        <v>2.0099999999999998</v>
      </c>
      <c r="T94">
        <v>74.77</v>
      </c>
      <c r="U94">
        <v>0.15</v>
      </c>
      <c r="V94">
        <v>136.06</v>
      </c>
      <c r="W94">
        <v>148.83000000000001</v>
      </c>
      <c r="X94">
        <v>10.46</v>
      </c>
      <c r="Y94" s="4">
        <v>385759.62074491731</v>
      </c>
      <c r="Z94" s="4">
        <v>713573.25678037247</v>
      </c>
    </row>
    <row r="95" spans="1:26" x14ac:dyDescent="0.25">
      <c r="A95" s="1">
        <v>45482</v>
      </c>
      <c r="B95" s="6" t="str">
        <f t="shared" si="2"/>
        <v>07-09</v>
      </c>
      <c r="C95" s="1" t="str">
        <f t="shared" si="3"/>
        <v>GSS</v>
      </c>
      <c r="D95" s="2">
        <v>0.47916666666666669</v>
      </c>
      <c r="E95">
        <v>10</v>
      </c>
      <c r="F95" t="s">
        <v>25</v>
      </c>
      <c r="G95" s="5">
        <v>1.9933000000000001</v>
      </c>
      <c r="H95" s="5">
        <v>6.5007000000000001</v>
      </c>
      <c r="I95">
        <v>27.4</v>
      </c>
      <c r="J95">
        <v>3.98</v>
      </c>
      <c r="K95">
        <v>2.1</v>
      </c>
      <c r="L95">
        <v>7.54</v>
      </c>
      <c r="M95">
        <v>95.1</v>
      </c>
      <c r="N95">
        <v>7.92</v>
      </c>
      <c r="P95">
        <v>36</v>
      </c>
      <c r="Q95">
        <v>39.58</v>
      </c>
      <c r="R95">
        <v>3.2</v>
      </c>
      <c r="S95">
        <v>2.58</v>
      </c>
      <c r="T95">
        <v>79.16</v>
      </c>
      <c r="U95">
        <v>0.22</v>
      </c>
      <c r="V95">
        <v>157.77000000000001</v>
      </c>
      <c r="W95">
        <v>222.89</v>
      </c>
      <c r="X95">
        <v>6.79</v>
      </c>
      <c r="Y95" s="4">
        <v>388689.34009811806</v>
      </c>
      <c r="Z95" s="4">
        <v>718664.2720532401</v>
      </c>
    </row>
    <row r="96" spans="1:26" x14ac:dyDescent="0.25">
      <c r="A96" s="1">
        <v>45482</v>
      </c>
      <c r="B96" s="6" t="str">
        <f t="shared" si="2"/>
        <v>07-09</v>
      </c>
      <c r="C96" s="1" t="str">
        <f t="shared" si="3"/>
        <v>GSS</v>
      </c>
      <c r="D96" s="2">
        <v>0.4916666666666667</v>
      </c>
      <c r="E96">
        <v>10</v>
      </c>
      <c r="F96" t="s">
        <v>26</v>
      </c>
      <c r="G96" s="5">
        <v>1.984</v>
      </c>
      <c r="H96" s="5">
        <v>6.5294999999999996</v>
      </c>
      <c r="I96">
        <v>27.8</v>
      </c>
      <c r="J96">
        <v>0.14000000000000001</v>
      </c>
      <c r="K96">
        <v>0.7</v>
      </c>
      <c r="L96">
        <v>7.09</v>
      </c>
      <c r="M96">
        <v>89.9</v>
      </c>
      <c r="N96">
        <v>7.76</v>
      </c>
      <c r="P96">
        <v>40</v>
      </c>
      <c r="Q96">
        <v>50.9</v>
      </c>
      <c r="R96">
        <v>1.07</v>
      </c>
      <c r="S96">
        <v>6.82</v>
      </c>
      <c r="T96">
        <v>75.87</v>
      </c>
      <c r="U96">
        <v>0.21</v>
      </c>
      <c r="V96">
        <v>194.8</v>
      </c>
      <c r="W96">
        <v>247.15</v>
      </c>
      <c r="X96">
        <v>19.329999999999998</v>
      </c>
      <c r="Y96" s="4">
        <v>387667.34262385243</v>
      </c>
      <c r="Z96" s="4">
        <v>721850.49534728227</v>
      </c>
    </row>
    <row r="97" spans="1:26" x14ac:dyDescent="0.25">
      <c r="A97" s="1">
        <v>45482</v>
      </c>
      <c r="B97" s="6" t="str">
        <f t="shared" si="2"/>
        <v>07-09</v>
      </c>
      <c r="C97" s="1" t="str">
        <f t="shared" si="3"/>
        <v>GSS</v>
      </c>
      <c r="D97" s="2">
        <v>0.50208333333333333</v>
      </c>
      <c r="E97">
        <v>10</v>
      </c>
      <c r="F97" t="s">
        <v>27</v>
      </c>
      <c r="G97" s="5">
        <v>1.9822</v>
      </c>
      <c r="H97" s="5">
        <v>6.5602</v>
      </c>
      <c r="I97">
        <v>27.9</v>
      </c>
      <c r="J97">
        <v>0.86</v>
      </c>
      <c r="K97">
        <v>0.4</v>
      </c>
      <c r="L97">
        <v>6.8</v>
      </c>
      <c r="M97">
        <v>86.5</v>
      </c>
      <c r="N97">
        <v>7.66</v>
      </c>
      <c r="P97">
        <v>36</v>
      </c>
      <c r="Q97">
        <v>59.22</v>
      </c>
      <c r="R97">
        <v>1.07</v>
      </c>
      <c r="S97">
        <v>11.91</v>
      </c>
      <c r="T97">
        <v>93.4</v>
      </c>
      <c r="U97">
        <v>0.23</v>
      </c>
      <c r="V97">
        <v>143.72999999999999</v>
      </c>
      <c r="W97">
        <v>268.85000000000002</v>
      </c>
      <c r="X97">
        <v>3.82</v>
      </c>
      <c r="Y97" s="4">
        <v>387475.18079440482</v>
      </c>
      <c r="Z97" s="4">
        <v>725245.13735641493</v>
      </c>
    </row>
    <row r="98" spans="1:26" x14ac:dyDescent="0.25">
      <c r="A98" s="1">
        <v>45482</v>
      </c>
      <c r="B98" s="6" t="str">
        <f t="shared" si="2"/>
        <v>07-09</v>
      </c>
      <c r="C98" s="1" t="str">
        <f t="shared" si="3"/>
        <v>GSS</v>
      </c>
      <c r="D98" s="2">
        <v>0.51250000000000007</v>
      </c>
      <c r="E98">
        <v>10</v>
      </c>
      <c r="F98" t="s">
        <v>28</v>
      </c>
      <c r="G98" s="5">
        <v>1.9809000000000001</v>
      </c>
      <c r="H98" s="5">
        <v>6.5894000000000004</v>
      </c>
      <c r="I98">
        <v>28</v>
      </c>
      <c r="J98">
        <v>0.22</v>
      </c>
      <c r="K98">
        <v>0</v>
      </c>
      <c r="L98">
        <v>2.08</v>
      </c>
      <c r="M98">
        <v>26.5</v>
      </c>
      <c r="N98">
        <v>6.88</v>
      </c>
      <c r="P98">
        <v>63</v>
      </c>
      <c r="Q98">
        <v>17.46</v>
      </c>
      <c r="R98">
        <v>2.2799999999999998</v>
      </c>
      <c r="S98">
        <v>5.97</v>
      </c>
      <c r="T98">
        <v>46.28</v>
      </c>
      <c r="U98">
        <v>0.16</v>
      </c>
      <c r="V98">
        <v>84.99</v>
      </c>
      <c r="W98">
        <v>197.35</v>
      </c>
      <c r="X98">
        <v>3.94</v>
      </c>
      <c r="Y98" s="4">
        <v>387338.0175576139</v>
      </c>
      <c r="Z98" s="4">
        <v>728473.83219849819</v>
      </c>
    </row>
    <row r="99" spans="1:26" x14ac:dyDescent="0.25">
      <c r="A99" s="1">
        <v>45482</v>
      </c>
      <c r="B99" s="6" t="str">
        <f t="shared" si="2"/>
        <v>07-09</v>
      </c>
      <c r="C99" s="1" t="str">
        <f t="shared" si="3"/>
        <v>GSS</v>
      </c>
      <c r="D99" s="2">
        <v>0.55208333333333337</v>
      </c>
      <c r="E99">
        <v>10</v>
      </c>
      <c r="F99" t="s">
        <v>29</v>
      </c>
      <c r="G99" s="5">
        <v>1.9655</v>
      </c>
      <c r="H99" s="5">
        <v>6.4878</v>
      </c>
      <c r="I99">
        <v>28.1</v>
      </c>
      <c r="J99">
        <v>1.94</v>
      </c>
      <c r="K99">
        <v>1</v>
      </c>
      <c r="L99">
        <v>7.07</v>
      </c>
      <c r="M99">
        <v>89.8</v>
      </c>
      <c r="N99">
        <v>7.75</v>
      </c>
      <c r="P99">
        <v>45</v>
      </c>
      <c r="Q99">
        <v>53.2</v>
      </c>
      <c r="R99">
        <v>1.07</v>
      </c>
      <c r="S99">
        <v>5.97</v>
      </c>
      <c r="T99">
        <v>70.39</v>
      </c>
      <c r="U99">
        <v>0.21</v>
      </c>
      <c r="V99">
        <v>176.92</v>
      </c>
      <c r="W99">
        <v>231.82</v>
      </c>
      <c r="X99">
        <v>13.52</v>
      </c>
      <c r="Y99" s="4">
        <v>385612.26229542762</v>
      </c>
      <c r="Z99" s="4">
        <v>717244.22352549795</v>
      </c>
    </row>
    <row r="100" spans="1:26" x14ac:dyDescent="0.25">
      <c r="A100" s="1">
        <v>45482</v>
      </c>
      <c r="B100" s="6" t="str">
        <f t="shared" si="2"/>
        <v>07-09</v>
      </c>
      <c r="C100" s="1" t="str">
        <f t="shared" si="3"/>
        <v>GSS</v>
      </c>
      <c r="D100" s="2">
        <v>0.5625</v>
      </c>
      <c r="E100">
        <v>10</v>
      </c>
      <c r="F100" t="s">
        <v>30</v>
      </c>
      <c r="G100" s="5">
        <v>1.9373</v>
      </c>
      <c r="H100" s="5">
        <v>6.4568000000000003</v>
      </c>
      <c r="I100">
        <v>27.9</v>
      </c>
      <c r="J100">
        <v>4.05</v>
      </c>
      <c r="K100">
        <v>2.2000000000000002</v>
      </c>
      <c r="L100">
        <v>8.08</v>
      </c>
      <c r="M100">
        <v>102.3</v>
      </c>
      <c r="N100">
        <v>8.15</v>
      </c>
      <c r="P100">
        <v>50</v>
      </c>
      <c r="Q100">
        <v>33.14</v>
      </c>
      <c r="R100">
        <v>7.48</v>
      </c>
      <c r="S100">
        <v>2.58</v>
      </c>
      <c r="T100">
        <v>36.409999999999997</v>
      </c>
      <c r="U100">
        <v>0.22</v>
      </c>
      <c r="V100">
        <v>146.28</v>
      </c>
      <c r="W100">
        <v>174.37</v>
      </c>
      <c r="X100">
        <v>1.5</v>
      </c>
      <c r="Y100" s="4">
        <v>382486.59163122613</v>
      </c>
      <c r="Z100" s="4">
        <v>713823.2259921059</v>
      </c>
    </row>
    <row r="101" spans="1:26" x14ac:dyDescent="0.25">
      <c r="A101" s="1">
        <v>45482</v>
      </c>
      <c r="B101" s="6" t="str">
        <f t="shared" si="2"/>
        <v>07-09</v>
      </c>
      <c r="C101" s="1" t="str">
        <f t="shared" si="3"/>
        <v>GSS</v>
      </c>
      <c r="D101" s="2">
        <v>0.57361111111111118</v>
      </c>
      <c r="E101">
        <v>10</v>
      </c>
      <c r="F101" t="s">
        <v>31</v>
      </c>
      <c r="G101" s="5">
        <v>1.9348000000000001</v>
      </c>
      <c r="H101" s="5">
        <v>6.4222000000000001</v>
      </c>
      <c r="I101">
        <v>28.3</v>
      </c>
      <c r="J101">
        <v>7.03</v>
      </c>
      <c r="K101">
        <v>3.9</v>
      </c>
      <c r="L101">
        <v>7.28</v>
      </c>
      <c r="M101">
        <v>94</v>
      </c>
      <c r="N101">
        <v>7.8</v>
      </c>
      <c r="P101">
        <v>46</v>
      </c>
      <c r="Q101">
        <v>54.12</v>
      </c>
      <c r="R101">
        <v>4.2699999999999996</v>
      </c>
      <c r="S101">
        <v>3.14</v>
      </c>
      <c r="T101">
        <v>45.18</v>
      </c>
      <c r="U101">
        <v>0.2</v>
      </c>
      <c r="V101">
        <v>83.72</v>
      </c>
      <c r="Y101" s="4">
        <v>382202.13294807624</v>
      </c>
      <c r="Z101" s="4">
        <v>709998.33191742201</v>
      </c>
    </row>
    <row r="102" spans="1:26" x14ac:dyDescent="0.25">
      <c r="A102" s="1">
        <v>45510</v>
      </c>
      <c r="B102" s="6" t="str">
        <f t="shared" si="2"/>
        <v>08-06</v>
      </c>
      <c r="C102" s="1" t="str">
        <f t="shared" si="3"/>
        <v>PSS</v>
      </c>
      <c r="D102" s="2">
        <v>0.4291666666666667</v>
      </c>
      <c r="E102">
        <v>11</v>
      </c>
      <c r="F102" t="s">
        <v>22</v>
      </c>
      <c r="G102" s="5">
        <v>1.93618</v>
      </c>
      <c r="H102" s="5">
        <v>6.3917999999999999</v>
      </c>
      <c r="I102">
        <v>27.1</v>
      </c>
      <c r="J102">
        <v>2.87</v>
      </c>
      <c r="K102">
        <v>1.5</v>
      </c>
      <c r="L102">
        <v>6.9</v>
      </c>
      <c r="M102">
        <v>85.4</v>
      </c>
      <c r="N102">
        <v>7.93</v>
      </c>
      <c r="P102">
        <v>30</v>
      </c>
      <c r="Q102">
        <v>89.38</v>
      </c>
      <c r="R102">
        <v>17.09</v>
      </c>
      <c r="S102">
        <v>9.7899999999999991</v>
      </c>
      <c r="T102">
        <v>52.02</v>
      </c>
      <c r="V102">
        <v>158.07</v>
      </c>
      <c r="W102">
        <v>285.49</v>
      </c>
      <c r="X102">
        <v>0.24</v>
      </c>
      <c r="Y102" s="4">
        <v>382769.63003693346</v>
      </c>
      <c r="Z102" s="4">
        <v>706304.35337691102</v>
      </c>
    </row>
    <row r="103" spans="1:26" x14ac:dyDescent="0.25">
      <c r="A103" s="1">
        <v>45510</v>
      </c>
      <c r="B103" s="6" t="str">
        <f t="shared" si="2"/>
        <v>08-06</v>
      </c>
      <c r="C103" s="1" t="str">
        <f t="shared" si="3"/>
        <v>PSS</v>
      </c>
      <c r="D103" s="2">
        <v>0.46249999999999997</v>
      </c>
      <c r="E103">
        <v>11</v>
      </c>
      <c r="F103" t="s">
        <v>23</v>
      </c>
      <c r="G103" s="5">
        <v>1.9513</v>
      </c>
      <c r="H103" s="5">
        <v>6.4095000000000004</v>
      </c>
      <c r="I103">
        <v>26.8</v>
      </c>
      <c r="J103">
        <v>2.33</v>
      </c>
      <c r="K103">
        <v>1.2</v>
      </c>
      <c r="L103">
        <v>8.02</v>
      </c>
      <c r="M103">
        <v>99.08</v>
      </c>
      <c r="N103">
        <v>8.56</v>
      </c>
      <c r="P103">
        <v>33</v>
      </c>
      <c r="Q103">
        <v>144.63999999999999</v>
      </c>
      <c r="R103">
        <v>20.9</v>
      </c>
      <c r="S103">
        <v>5.16</v>
      </c>
      <c r="T103">
        <v>20.440000000000001</v>
      </c>
      <c r="V103">
        <v>181.24</v>
      </c>
      <c r="W103">
        <v>372.76</v>
      </c>
      <c r="X103">
        <v>0.24</v>
      </c>
      <c r="Y103" s="4">
        <v>384024.1570784403</v>
      </c>
      <c r="Z103" s="4">
        <v>708590.42751502525</v>
      </c>
    </row>
    <row r="104" spans="1:26" x14ac:dyDescent="0.25">
      <c r="A104" s="1">
        <v>45510</v>
      </c>
      <c r="B104" s="6" t="str">
        <f t="shared" si="2"/>
        <v>08-06</v>
      </c>
      <c r="C104" s="1" t="str">
        <f t="shared" si="3"/>
        <v>PSS</v>
      </c>
      <c r="D104" s="2">
        <v>0.47916666666666669</v>
      </c>
      <c r="E104">
        <v>11</v>
      </c>
      <c r="F104" t="s">
        <v>24</v>
      </c>
      <c r="G104" s="5">
        <v>1.9669000000000001</v>
      </c>
      <c r="H104" s="5">
        <v>6.4546000000000001</v>
      </c>
      <c r="I104">
        <v>27</v>
      </c>
      <c r="J104">
        <v>3.14</v>
      </c>
      <c r="K104">
        <v>1.6</v>
      </c>
      <c r="L104">
        <v>7.8</v>
      </c>
      <c r="M104">
        <v>97.3</v>
      </c>
      <c r="N104">
        <v>8.3000000000000007</v>
      </c>
      <c r="P104">
        <v>40</v>
      </c>
      <c r="Q104">
        <v>89.5</v>
      </c>
      <c r="R104">
        <v>10.68</v>
      </c>
      <c r="S104">
        <v>7.48</v>
      </c>
      <c r="T104">
        <v>33.130000000000003</v>
      </c>
      <c r="V104">
        <v>197.45</v>
      </c>
      <c r="W104">
        <v>352.68</v>
      </c>
      <c r="X104">
        <v>6.15</v>
      </c>
      <c r="Y104" s="4">
        <v>385759.62074491731</v>
      </c>
      <c r="Z104" s="4">
        <v>713573.25678037247</v>
      </c>
    </row>
    <row r="105" spans="1:26" x14ac:dyDescent="0.25">
      <c r="A105" s="1">
        <v>45510</v>
      </c>
      <c r="B105" s="6" t="str">
        <f t="shared" si="2"/>
        <v>08-06</v>
      </c>
      <c r="C105" s="1" t="str">
        <f t="shared" si="3"/>
        <v>PSS</v>
      </c>
      <c r="D105" s="2">
        <v>0.49652777777777773</v>
      </c>
      <c r="E105">
        <v>11</v>
      </c>
      <c r="F105" t="s">
        <v>25</v>
      </c>
      <c r="G105" s="5">
        <v>1.9933000000000001</v>
      </c>
      <c r="H105" s="5">
        <v>6.5007000000000001</v>
      </c>
      <c r="I105">
        <v>27.1</v>
      </c>
      <c r="J105">
        <v>3.13</v>
      </c>
      <c r="K105">
        <v>1.6</v>
      </c>
      <c r="L105">
        <v>7.99</v>
      </c>
      <c r="M105">
        <v>99.6</v>
      </c>
      <c r="N105">
        <v>8.2200000000000006</v>
      </c>
      <c r="P105">
        <v>31</v>
      </c>
      <c r="Q105">
        <v>70.819999999999993</v>
      </c>
      <c r="R105">
        <v>14.24</v>
      </c>
      <c r="S105">
        <v>19.059999999999999</v>
      </c>
      <c r="T105">
        <v>17.059999999999999</v>
      </c>
      <c r="V105">
        <v>205.18</v>
      </c>
      <c r="W105">
        <v>311.75</v>
      </c>
      <c r="X105">
        <v>8.5299999999999994</v>
      </c>
      <c r="Y105" s="4">
        <v>388689.34009811806</v>
      </c>
      <c r="Z105" s="4">
        <v>718664.2720532401</v>
      </c>
    </row>
    <row r="106" spans="1:26" x14ac:dyDescent="0.25">
      <c r="A106" s="1">
        <v>45510</v>
      </c>
      <c r="B106" s="6" t="str">
        <f t="shared" si="2"/>
        <v>08-06</v>
      </c>
      <c r="C106" s="1" t="str">
        <f t="shared" si="3"/>
        <v>PSS</v>
      </c>
      <c r="D106" s="2">
        <v>0.51666666666666672</v>
      </c>
      <c r="E106">
        <v>11</v>
      </c>
      <c r="F106" t="s">
        <v>26</v>
      </c>
      <c r="G106" s="5">
        <v>1.984</v>
      </c>
      <c r="H106" s="5">
        <v>6.5294999999999996</v>
      </c>
      <c r="I106">
        <v>26.9</v>
      </c>
      <c r="J106">
        <v>2.78</v>
      </c>
      <c r="K106">
        <v>1.4</v>
      </c>
      <c r="L106">
        <v>7.7</v>
      </c>
      <c r="M106">
        <v>95.7</v>
      </c>
      <c r="N106">
        <v>8.1300000000000008</v>
      </c>
      <c r="P106">
        <v>51</v>
      </c>
      <c r="Q106">
        <v>46.56</v>
      </c>
      <c r="R106">
        <v>6.68</v>
      </c>
      <c r="S106">
        <v>4.3899999999999997</v>
      </c>
      <c r="T106">
        <v>27.21</v>
      </c>
      <c r="V106">
        <v>178.92</v>
      </c>
      <c r="W106">
        <v>263.10000000000002</v>
      </c>
      <c r="X106">
        <v>7.33</v>
      </c>
      <c r="Y106" s="4">
        <v>387667.34262385243</v>
      </c>
      <c r="Z106" s="4">
        <v>721850.49534728227</v>
      </c>
    </row>
    <row r="107" spans="1:26" x14ac:dyDescent="0.25">
      <c r="A107" s="1">
        <v>45510</v>
      </c>
      <c r="B107" s="6" t="str">
        <f t="shared" si="2"/>
        <v>08-06</v>
      </c>
      <c r="C107" s="1" t="str">
        <f t="shared" si="3"/>
        <v>PSS</v>
      </c>
      <c r="D107" s="2">
        <v>0.53194444444444444</v>
      </c>
      <c r="E107">
        <v>11</v>
      </c>
      <c r="F107" t="s">
        <v>27</v>
      </c>
      <c r="G107" s="5">
        <v>1.9822</v>
      </c>
      <c r="H107" s="5">
        <v>6.5602</v>
      </c>
      <c r="I107">
        <v>26.7</v>
      </c>
      <c r="J107">
        <v>2.6</v>
      </c>
      <c r="K107">
        <v>1.3</v>
      </c>
      <c r="L107">
        <v>7.97</v>
      </c>
      <c r="M107">
        <v>99.1</v>
      </c>
      <c r="N107">
        <v>8.15</v>
      </c>
      <c r="P107">
        <v>63</v>
      </c>
      <c r="Q107">
        <v>32.729999999999997</v>
      </c>
      <c r="R107">
        <v>11.75</v>
      </c>
      <c r="S107">
        <v>9.02</v>
      </c>
      <c r="T107">
        <v>30.88</v>
      </c>
      <c r="V107">
        <v>189.73</v>
      </c>
      <c r="W107">
        <v>233.75</v>
      </c>
      <c r="X107">
        <v>0.37</v>
      </c>
      <c r="Y107" s="4">
        <v>387475.18079440482</v>
      </c>
      <c r="Z107" s="4">
        <v>725245.13735641493</v>
      </c>
    </row>
    <row r="108" spans="1:26" x14ac:dyDescent="0.25">
      <c r="A108" s="1">
        <v>45510</v>
      </c>
      <c r="B108" s="6" t="str">
        <f t="shared" si="2"/>
        <v>08-06</v>
      </c>
      <c r="C108" s="1" t="str">
        <f t="shared" si="3"/>
        <v>PSS</v>
      </c>
      <c r="D108" s="2">
        <v>0.54166666666666663</v>
      </c>
      <c r="E108">
        <v>11</v>
      </c>
      <c r="F108" t="s">
        <v>28</v>
      </c>
      <c r="G108" s="5">
        <v>1.9809000000000001</v>
      </c>
      <c r="H108" s="5">
        <v>6.5894000000000004</v>
      </c>
      <c r="I108">
        <v>27</v>
      </c>
      <c r="J108">
        <v>2.61</v>
      </c>
      <c r="K108">
        <v>1.3</v>
      </c>
      <c r="L108">
        <v>8.24</v>
      </c>
      <c r="M108">
        <v>102.9</v>
      </c>
      <c r="N108">
        <v>8.25</v>
      </c>
      <c r="P108">
        <v>59</v>
      </c>
      <c r="Q108">
        <v>26.52</v>
      </c>
      <c r="R108">
        <v>4.2699999999999996</v>
      </c>
      <c r="S108">
        <v>9.7899999999999991</v>
      </c>
      <c r="T108">
        <v>31.16</v>
      </c>
      <c r="V108">
        <v>195.14</v>
      </c>
      <c r="W108">
        <v>233.75</v>
      </c>
      <c r="X108">
        <v>0.25</v>
      </c>
      <c r="Y108" s="4">
        <v>387338.0175576139</v>
      </c>
      <c r="Z108" s="4">
        <v>728473.83219849819</v>
      </c>
    </row>
    <row r="109" spans="1:26" x14ac:dyDescent="0.25">
      <c r="A109" s="1">
        <v>45510</v>
      </c>
      <c r="B109" s="6" t="str">
        <f t="shared" si="2"/>
        <v>08-06</v>
      </c>
      <c r="C109" s="1" t="str">
        <f t="shared" si="3"/>
        <v>PSS</v>
      </c>
      <c r="D109" s="2">
        <v>0.60972222222222217</v>
      </c>
      <c r="E109">
        <v>11</v>
      </c>
      <c r="F109" t="s">
        <v>29</v>
      </c>
      <c r="G109" s="5">
        <v>1.9655</v>
      </c>
      <c r="H109" s="5">
        <v>6.4878</v>
      </c>
      <c r="I109">
        <v>27.1</v>
      </c>
      <c r="J109">
        <v>2.5299999999999998</v>
      </c>
      <c r="K109">
        <v>1.3</v>
      </c>
      <c r="L109">
        <v>8.07</v>
      </c>
      <c r="M109">
        <v>101</v>
      </c>
      <c r="N109">
        <v>8.27</v>
      </c>
      <c r="P109">
        <v>40</v>
      </c>
      <c r="Q109">
        <v>67.459999999999994</v>
      </c>
      <c r="R109">
        <v>12.14</v>
      </c>
      <c r="S109">
        <v>6.71</v>
      </c>
      <c r="T109">
        <v>36.229999999999997</v>
      </c>
      <c r="V109">
        <v>195.91</v>
      </c>
      <c r="W109">
        <v>287.04000000000002</v>
      </c>
      <c r="X109">
        <v>0.37</v>
      </c>
      <c r="Y109" s="4">
        <v>385612.26229542762</v>
      </c>
      <c r="Z109" s="4">
        <v>717244.22352549795</v>
      </c>
    </row>
    <row r="110" spans="1:26" x14ac:dyDescent="0.25">
      <c r="A110" s="1">
        <v>45510</v>
      </c>
      <c r="B110" s="6" t="str">
        <f t="shared" si="2"/>
        <v>08-06</v>
      </c>
      <c r="C110" s="1" t="str">
        <f t="shared" si="3"/>
        <v>PSS</v>
      </c>
      <c r="D110" s="2">
        <v>0.625</v>
      </c>
      <c r="E110">
        <v>11</v>
      </c>
      <c r="F110" t="s">
        <v>30</v>
      </c>
      <c r="G110" s="5">
        <v>1.9373</v>
      </c>
      <c r="H110" s="5">
        <v>6.4568000000000003</v>
      </c>
      <c r="I110">
        <v>27.3</v>
      </c>
      <c r="J110">
        <v>2.38</v>
      </c>
      <c r="K110">
        <v>1.2</v>
      </c>
      <c r="L110">
        <v>8.31</v>
      </c>
      <c r="M110">
        <v>104.6</v>
      </c>
      <c r="N110">
        <v>8.51</v>
      </c>
      <c r="P110">
        <v>27</v>
      </c>
      <c r="Q110">
        <v>128.91999999999999</v>
      </c>
      <c r="R110">
        <v>5.34</v>
      </c>
      <c r="S110">
        <v>22.92</v>
      </c>
      <c r="T110">
        <v>37.08</v>
      </c>
      <c r="V110">
        <v>217.53</v>
      </c>
      <c r="W110">
        <v>341.87</v>
      </c>
      <c r="X110">
        <v>0.41</v>
      </c>
      <c r="Y110" s="4">
        <v>382486.59163122613</v>
      </c>
      <c r="Z110" s="4">
        <v>713823.2259921059</v>
      </c>
    </row>
    <row r="111" spans="1:26" x14ac:dyDescent="0.25">
      <c r="A111" s="1">
        <v>45510</v>
      </c>
      <c r="B111" s="6" t="str">
        <f t="shared" si="2"/>
        <v>08-06</v>
      </c>
      <c r="C111" s="1" t="str">
        <f t="shared" si="3"/>
        <v>PSS</v>
      </c>
      <c r="D111" s="2">
        <v>0.63958333333333328</v>
      </c>
      <c r="E111">
        <v>11</v>
      </c>
      <c r="F111" t="s">
        <v>31</v>
      </c>
      <c r="G111" s="5">
        <v>1.9348000000000001</v>
      </c>
      <c r="H111" s="5">
        <v>6.4222000000000001</v>
      </c>
      <c r="I111">
        <v>27.8</v>
      </c>
      <c r="J111">
        <v>2.5299999999999998</v>
      </c>
      <c r="K111">
        <v>1.3</v>
      </c>
      <c r="L111">
        <v>8.31</v>
      </c>
      <c r="M111">
        <v>105.8</v>
      </c>
      <c r="N111">
        <v>8.6</v>
      </c>
      <c r="P111">
        <v>31</v>
      </c>
      <c r="Q111">
        <v>145.19999999999999</v>
      </c>
      <c r="R111">
        <v>14.38</v>
      </c>
      <c r="S111">
        <v>15.2</v>
      </c>
      <c r="T111">
        <v>33.979999999999997</v>
      </c>
      <c r="V111">
        <v>175.83</v>
      </c>
      <c r="W111">
        <v>338.78</v>
      </c>
      <c r="X111">
        <v>0.18</v>
      </c>
      <c r="Y111" s="4">
        <v>382202.13294807624</v>
      </c>
      <c r="Z111" s="4">
        <v>709998.33191742201</v>
      </c>
    </row>
    <row r="112" spans="1:26" x14ac:dyDescent="0.25">
      <c r="A112" s="1">
        <v>45547</v>
      </c>
      <c r="B112" s="6" t="str">
        <f t="shared" si="2"/>
        <v>09-12</v>
      </c>
      <c r="C112" s="1" t="str">
        <f t="shared" si="3"/>
        <v>GSS</v>
      </c>
      <c r="D112" s="2">
        <v>0.40069444444444446</v>
      </c>
      <c r="E112">
        <v>12</v>
      </c>
      <c r="F112" t="s">
        <v>22</v>
      </c>
      <c r="G112" s="5">
        <v>1.93618</v>
      </c>
      <c r="H112" s="5">
        <v>6.3917999999999999</v>
      </c>
      <c r="I112">
        <v>27.6</v>
      </c>
      <c r="J112">
        <v>6.22</v>
      </c>
      <c r="K112">
        <v>3.4</v>
      </c>
      <c r="L112">
        <v>7.1</v>
      </c>
      <c r="M112">
        <v>89.7</v>
      </c>
      <c r="N112">
        <v>8.25</v>
      </c>
      <c r="P112">
        <v>51</v>
      </c>
      <c r="Q112">
        <v>24.84</v>
      </c>
      <c r="R112">
        <v>5.34</v>
      </c>
      <c r="S112">
        <v>2.84</v>
      </c>
      <c r="T112">
        <v>70.92</v>
      </c>
      <c r="U112">
        <v>0.15</v>
      </c>
      <c r="V112">
        <v>198.23</v>
      </c>
      <c r="W112">
        <v>345.46</v>
      </c>
      <c r="X112">
        <v>8.66</v>
      </c>
      <c r="Y112" s="4">
        <v>382769.63003693346</v>
      </c>
      <c r="Z112" s="4">
        <v>706304.35337691102</v>
      </c>
    </row>
    <row r="113" spans="1:26" x14ac:dyDescent="0.25">
      <c r="A113" s="1">
        <v>45547</v>
      </c>
      <c r="B113" s="6" t="str">
        <f t="shared" si="2"/>
        <v>09-12</v>
      </c>
      <c r="C113" s="1" t="str">
        <f t="shared" si="3"/>
        <v>GSS</v>
      </c>
      <c r="D113" s="2">
        <v>0.43194444444444446</v>
      </c>
      <c r="E113">
        <v>12</v>
      </c>
      <c r="F113" t="s">
        <v>23</v>
      </c>
      <c r="G113" s="5">
        <v>1.9513</v>
      </c>
      <c r="H113" s="5">
        <v>6.4095000000000004</v>
      </c>
      <c r="I113">
        <v>27.7</v>
      </c>
      <c r="J113">
        <v>3.91</v>
      </c>
      <c r="K113">
        <v>2.1</v>
      </c>
      <c r="L113">
        <v>7.77</v>
      </c>
      <c r="M113">
        <v>98.2</v>
      </c>
      <c r="N113">
        <v>8.24</v>
      </c>
      <c r="P113">
        <v>55</v>
      </c>
      <c r="Q113">
        <v>28.41</v>
      </c>
      <c r="R113">
        <v>3.2</v>
      </c>
      <c r="S113">
        <v>8.25</v>
      </c>
      <c r="T113">
        <v>42.44</v>
      </c>
      <c r="U113">
        <v>0.11</v>
      </c>
      <c r="V113">
        <v>197.45</v>
      </c>
      <c r="W113">
        <v>396.53</v>
      </c>
      <c r="X113">
        <v>6.91</v>
      </c>
      <c r="Y113" s="4">
        <v>384024.1570784403</v>
      </c>
      <c r="Z113" s="4">
        <v>708590.42751502525</v>
      </c>
    </row>
    <row r="114" spans="1:26" x14ac:dyDescent="0.25">
      <c r="A114" s="1">
        <v>45547</v>
      </c>
      <c r="B114" s="6" t="str">
        <f t="shared" si="2"/>
        <v>09-12</v>
      </c>
      <c r="C114" s="1" t="str">
        <f t="shared" si="3"/>
        <v>GSS</v>
      </c>
      <c r="D114" s="2">
        <v>0.45624999999999999</v>
      </c>
      <c r="E114">
        <v>12</v>
      </c>
      <c r="F114" t="s">
        <v>24</v>
      </c>
      <c r="G114" s="5">
        <v>1.9669000000000001</v>
      </c>
      <c r="H114" s="5">
        <v>6.4546000000000001</v>
      </c>
      <c r="I114">
        <v>27.9</v>
      </c>
      <c r="J114">
        <v>4.62</v>
      </c>
      <c r="K114">
        <v>2.5</v>
      </c>
      <c r="L114">
        <v>7.65</v>
      </c>
      <c r="M114">
        <v>96.9</v>
      </c>
      <c r="N114">
        <v>8.2100000000000009</v>
      </c>
      <c r="P114">
        <v>65</v>
      </c>
      <c r="Q114">
        <v>21.9</v>
      </c>
      <c r="R114">
        <v>6.41</v>
      </c>
      <c r="S114">
        <v>19.829999999999998</v>
      </c>
      <c r="T114">
        <v>46.67</v>
      </c>
      <c r="U114">
        <v>0.25</v>
      </c>
      <c r="V114">
        <v>206.72</v>
      </c>
      <c r="W114">
        <v>371</v>
      </c>
      <c r="X114">
        <v>8.3800000000000008</v>
      </c>
      <c r="Y114" s="4">
        <v>385759.62074491731</v>
      </c>
      <c r="Z114" s="4">
        <v>713573.25678037247</v>
      </c>
    </row>
    <row r="115" spans="1:26" x14ac:dyDescent="0.25">
      <c r="A115" s="1">
        <v>45547</v>
      </c>
      <c r="B115" s="6" t="str">
        <f t="shared" si="2"/>
        <v>09-12</v>
      </c>
      <c r="C115" s="1" t="str">
        <f t="shared" si="3"/>
        <v>GSS</v>
      </c>
      <c r="D115" s="2">
        <v>0.46666666666666662</v>
      </c>
      <c r="E115">
        <v>12</v>
      </c>
      <c r="F115" t="s">
        <v>25</v>
      </c>
      <c r="G115" s="5">
        <v>1.9933000000000001</v>
      </c>
      <c r="H115" s="5">
        <v>6.5007000000000001</v>
      </c>
      <c r="I115">
        <v>28</v>
      </c>
      <c r="J115">
        <v>4.46</v>
      </c>
      <c r="K115">
        <v>2.4</v>
      </c>
      <c r="L115">
        <v>7.95</v>
      </c>
      <c r="M115">
        <v>109.9</v>
      </c>
      <c r="N115">
        <v>8.25</v>
      </c>
      <c r="P115">
        <v>63</v>
      </c>
      <c r="Q115">
        <v>18.39</v>
      </c>
      <c r="R115">
        <v>2.14</v>
      </c>
      <c r="S115">
        <v>22.92</v>
      </c>
      <c r="T115">
        <v>61.05</v>
      </c>
      <c r="U115">
        <v>0.25</v>
      </c>
      <c r="V115">
        <v>194.36</v>
      </c>
      <c r="W115">
        <v>401.64</v>
      </c>
      <c r="X115">
        <v>7.77</v>
      </c>
      <c r="Y115" s="4">
        <v>388689.34009811806</v>
      </c>
      <c r="Z115" s="4">
        <v>718664.2720532401</v>
      </c>
    </row>
    <row r="116" spans="1:26" x14ac:dyDescent="0.25">
      <c r="A116" s="1">
        <v>45547</v>
      </c>
      <c r="B116" s="6" t="str">
        <f t="shared" si="2"/>
        <v>09-12</v>
      </c>
      <c r="C116" s="1" t="str">
        <f t="shared" si="3"/>
        <v>GSS</v>
      </c>
      <c r="D116" s="2">
        <v>0.48541666666666666</v>
      </c>
      <c r="E116">
        <v>12</v>
      </c>
      <c r="F116" t="s">
        <v>26</v>
      </c>
      <c r="G116" s="5">
        <v>1.984</v>
      </c>
      <c r="H116" s="5">
        <v>6.5294999999999996</v>
      </c>
      <c r="I116">
        <v>27.8</v>
      </c>
      <c r="J116">
        <v>2.79</v>
      </c>
      <c r="K116">
        <v>1.4</v>
      </c>
      <c r="L116">
        <v>7.24</v>
      </c>
      <c r="M116">
        <v>91.5</v>
      </c>
      <c r="N116">
        <v>8.0299999999999994</v>
      </c>
      <c r="P116">
        <v>49</v>
      </c>
      <c r="Q116">
        <v>28.56</v>
      </c>
      <c r="R116">
        <v>1.07</v>
      </c>
      <c r="S116">
        <v>15.2</v>
      </c>
      <c r="T116">
        <v>57.95</v>
      </c>
      <c r="U116">
        <v>0.08</v>
      </c>
      <c r="V116">
        <v>223.71</v>
      </c>
      <c r="W116">
        <v>460.37</v>
      </c>
      <c r="X116">
        <v>8.66</v>
      </c>
      <c r="Y116" s="4">
        <v>387667.34262385243</v>
      </c>
      <c r="Z116" s="4">
        <v>721850.49534728227</v>
      </c>
    </row>
    <row r="117" spans="1:26" x14ac:dyDescent="0.25">
      <c r="A117" s="1">
        <v>45547</v>
      </c>
      <c r="B117" s="6" t="str">
        <f t="shared" si="2"/>
        <v>09-12</v>
      </c>
      <c r="C117" s="1" t="str">
        <f t="shared" si="3"/>
        <v>GSS</v>
      </c>
      <c r="D117" s="2">
        <v>0.49652777777777773</v>
      </c>
      <c r="E117">
        <v>12</v>
      </c>
      <c r="F117" t="s">
        <v>27</v>
      </c>
      <c r="G117" s="5">
        <v>1.9822</v>
      </c>
      <c r="H117" s="5">
        <v>6.5602</v>
      </c>
      <c r="I117">
        <v>27.9</v>
      </c>
      <c r="J117">
        <v>1.94</v>
      </c>
      <c r="K117">
        <v>1</v>
      </c>
      <c r="L117">
        <v>7.19</v>
      </c>
      <c r="M117">
        <v>91.1</v>
      </c>
      <c r="N117">
        <v>7.95</v>
      </c>
      <c r="P117">
        <v>48</v>
      </c>
      <c r="Q117">
        <v>38.61</v>
      </c>
      <c r="R117">
        <v>4.2699999999999996</v>
      </c>
      <c r="S117">
        <v>29.1</v>
      </c>
      <c r="T117">
        <v>59.64</v>
      </c>
      <c r="U117">
        <v>0.1</v>
      </c>
      <c r="V117">
        <v>222.17</v>
      </c>
      <c r="W117">
        <v>395.25</v>
      </c>
      <c r="X117">
        <v>11.23</v>
      </c>
      <c r="Y117" s="4">
        <v>387475.18079440482</v>
      </c>
      <c r="Z117" s="4">
        <v>725245.13735641493</v>
      </c>
    </row>
    <row r="118" spans="1:26" x14ac:dyDescent="0.25">
      <c r="A118" s="1">
        <v>45547</v>
      </c>
      <c r="B118" s="6" t="str">
        <f t="shared" si="2"/>
        <v>09-12</v>
      </c>
      <c r="C118" s="1" t="str">
        <f t="shared" si="3"/>
        <v>GSS</v>
      </c>
      <c r="D118" s="2">
        <v>0.50624999999999998</v>
      </c>
      <c r="E118">
        <v>12</v>
      </c>
      <c r="F118" t="s">
        <v>28</v>
      </c>
      <c r="G118" s="5">
        <v>1.9809000000000001</v>
      </c>
      <c r="H118" s="5">
        <v>6.5894000000000004</v>
      </c>
      <c r="I118">
        <v>27.7</v>
      </c>
      <c r="J118">
        <v>2.81</v>
      </c>
      <c r="K118">
        <v>1.5</v>
      </c>
      <c r="L118">
        <v>7.42</v>
      </c>
      <c r="M118">
        <v>93.4</v>
      </c>
      <c r="N118">
        <v>8.09</v>
      </c>
      <c r="P118">
        <v>66</v>
      </c>
      <c r="Q118">
        <v>18.600000000000001</v>
      </c>
      <c r="R118">
        <v>3.2</v>
      </c>
      <c r="S118">
        <v>18.29</v>
      </c>
      <c r="T118">
        <v>38.49</v>
      </c>
      <c r="U118">
        <v>0.16</v>
      </c>
      <c r="V118">
        <v>212.9</v>
      </c>
      <c r="W118">
        <v>448.88</v>
      </c>
      <c r="X118">
        <v>12.02</v>
      </c>
      <c r="Y118" s="4">
        <v>387338.0175576139</v>
      </c>
      <c r="Z118" s="4">
        <v>728473.83219849819</v>
      </c>
    </row>
    <row r="119" spans="1:26" x14ac:dyDescent="0.25">
      <c r="A119" s="1">
        <v>45547</v>
      </c>
      <c r="B119" s="6" t="str">
        <f t="shared" si="2"/>
        <v>09-12</v>
      </c>
      <c r="C119" s="1" t="str">
        <f t="shared" si="3"/>
        <v>GSS</v>
      </c>
      <c r="D119" s="2">
        <v>0.55138888888888882</v>
      </c>
      <c r="E119">
        <v>12</v>
      </c>
      <c r="F119" t="s">
        <v>29</v>
      </c>
      <c r="G119" s="5">
        <v>1.9655</v>
      </c>
      <c r="H119" s="5">
        <v>6.4878</v>
      </c>
      <c r="I119">
        <v>27.9</v>
      </c>
      <c r="J119">
        <v>2.81</v>
      </c>
      <c r="K119">
        <v>1.5</v>
      </c>
      <c r="L119">
        <v>7.92</v>
      </c>
      <c r="M119">
        <v>100.4</v>
      </c>
      <c r="N119">
        <v>8.2200000000000006</v>
      </c>
      <c r="P119">
        <v>49</v>
      </c>
      <c r="Q119">
        <v>43.77</v>
      </c>
      <c r="R119">
        <v>5.34</v>
      </c>
      <c r="S119">
        <v>11.34</v>
      </c>
      <c r="T119">
        <v>39.049999999999997</v>
      </c>
      <c r="U119">
        <v>7.0000000000000007E-2</v>
      </c>
      <c r="V119">
        <v>216.76</v>
      </c>
      <c r="W119">
        <v>409.3</v>
      </c>
      <c r="X119">
        <v>13.4</v>
      </c>
      <c r="Y119" s="4">
        <v>385612.26229542762</v>
      </c>
      <c r="Z119" s="4">
        <v>717244.22352549795</v>
      </c>
    </row>
    <row r="120" spans="1:26" x14ac:dyDescent="0.25">
      <c r="A120" s="1">
        <v>45547</v>
      </c>
      <c r="B120" s="6" t="str">
        <f t="shared" si="2"/>
        <v>09-12</v>
      </c>
      <c r="C120" s="1" t="str">
        <f t="shared" si="3"/>
        <v>GSS</v>
      </c>
      <c r="D120" s="2">
        <v>0.56458333333333333</v>
      </c>
      <c r="E120">
        <v>12</v>
      </c>
      <c r="F120" t="s">
        <v>30</v>
      </c>
      <c r="G120" s="5">
        <v>1.9373</v>
      </c>
      <c r="H120" s="5">
        <v>6.4568000000000003</v>
      </c>
      <c r="I120">
        <v>28.1</v>
      </c>
      <c r="J120">
        <v>2.92</v>
      </c>
      <c r="K120">
        <v>1.5</v>
      </c>
      <c r="L120">
        <v>7.84</v>
      </c>
      <c r="M120">
        <v>100.2</v>
      </c>
      <c r="N120">
        <v>8.3000000000000007</v>
      </c>
      <c r="P120">
        <v>38</v>
      </c>
      <c r="Q120">
        <v>71.13</v>
      </c>
      <c r="R120">
        <v>0</v>
      </c>
      <c r="S120">
        <v>4.3899999999999997</v>
      </c>
      <c r="T120">
        <v>52.87</v>
      </c>
      <c r="U120">
        <v>0.1</v>
      </c>
      <c r="V120">
        <v>196.68</v>
      </c>
      <c r="W120">
        <v>396.53</v>
      </c>
      <c r="X120">
        <v>11.1</v>
      </c>
      <c r="Y120" s="4">
        <v>382486.59163122613</v>
      </c>
      <c r="Z120" s="4">
        <v>713823.2259921059</v>
      </c>
    </row>
    <row r="121" spans="1:26" x14ac:dyDescent="0.25">
      <c r="A121" s="1">
        <v>45547</v>
      </c>
      <c r="B121" s="6" t="str">
        <f t="shared" si="2"/>
        <v>09-12</v>
      </c>
      <c r="C121" s="1" t="str">
        <f t="shared" si="3"/>
        <v>GSS</v>
      </c>
      <c r="D121" s="2">
        <v>0.57430555555555551</v>
      </c>
      <c r="E121">
        <v>12</v>
      </c>
      <c r="F121" t="s">
        <v>31</v>
      </c>
      <c r="G121" s="5">
        <v>1.9348000000000001</v>
      </c>
      <c r="H121" s="5">
        <v>6.4222000000000001</v>
      </c>
      <c r="I121">
        <v>28.5</v>
      </c>
      <c r="J121">
        <v>4.2</v>
      </c>
      <c r="K121">
        <v>2.2000000000000002</v>
      </c>
      <c r="L121">
        <v>8.09</v>
      </c>
      <c r="M121">
        <v>103.9</v>
      </c>
      <c r="N121">
        <v>8.3699999999999992</v>
      </c>
      <c r="P121">
        <v>33</v>
      </c>
      <c r="Q121">
        <v>42.78</v>
      </c>
      <c r="R121">
        <v>5.34</v>
      </c>
      <c r="S121">
        <v>6.71</v>
      </c>
      <c r="T121">
        <v>59.36</v>
      </c>
      <c r="U121">
        <v>0.03</v>
      </c>
      <c r="V121">
        <v>192.82</v>
      </c>
      <c r="W121">
        <v>390.15</v>
      </c>
      <c r="X121">
        <v>11.68</v>
      </c>
      <c r="Y121" s="4">
        <v>382202.13294807624</v>
      </c>
      <c r="Z121" s="4">
        <v>709998.33191742201</v>
      </c>
    </row>
    <row r="122" spans="1:26" x14ac:dyDescent="0.25">
      <c r="A122" s="1">
        <v>45575</v>
      </c>
      <c r="B122" s="6" t="str">
        <f t="shared" si="2"/>
        <v>10-10</v>
      </c>
      <c r="C122" s="1" t="str">
        <f t="shared" si="3"/>
        <v>PSP</v>
      </c>
      <c r="D122" s="2">
        <v>0.37986111111111115</v>
      </c>
      <c r="E122">
        <v>13</v>
      </c>
      <c r="F122" t="s">
        <v>22</v>
      </c>
      <c r="G122" s="5">
        <v>1.93618</v>
      </c>
      <c r="H122" s="5">
        <v>6.3917999999999999</v>
      </c>
      <c r="I122">
        <v>28.4</v>
      </c>
      <c r="J122">
        <v>3.86</v>
      </c>
      <c r="K122">
        <v>2.1</v>
      </c>
      <c r="L122">
        <v>6.63</v>
      </c>
      <c r="M122">
        <v>85.7</v>
      </c>
      <c r="N122">
        <v>8.18</v>
      </c>
      <c r="P122">
        <v>37</v>
      </c>
      <c r="Q122">
        <v>26.7</v>
      </c>
      <c r="R122">
        <v>1.07</v>
      </c>
      <c r="S122">
        <v>21.38</v>
      </c>
      <c r="T122">
        <v>64.430000000000007</v>
      </c>
      <c r="U122">
        <v>0.14000000000000001</v>
      </c>
      <c r="V122">
        <v>190.5</v>
      </c>
      <c r="W122">
        <v>358.23</v>
      </c>
      <c r="X122">
        <v>9.27</v>
      </c>
      <c r="Y122" s="4">
        <v>382769.63003693346</v>
      </c>
      <c r="Z122" s="4">
        <v>706304.35337691102</v>
      </c>
    </row>
    <row r="123" spans="1:26" x14ac:dyDescent="0.25">
      <c r="A123" s="1">
        <v>45575</v>
      </c>
      <c r="B123" s="6" t="str">
        <f t="shared" si="2"/>
        <v>10-10</v>
      </c>
      <c r="C123" s="1" t="str">
        <f t="shared" si="3"/>
        <v>PSP</v>
      </c>
      <c r="D123" s="2">
        <v>0.40347222222222223</v>
      </c>
      <c r="E123">
        <v>13</v>
      </c>
      <c r="F123" t="s">
        <v>23</v>
      </c>
      <c r="G123" s="5">
        <v>1.9513</v>
      </c>
      <c r="H123" s="5">
        <v>6.4095000000000004</v>
      </c>
      <c r="I123">
        <v>28.9</v>
      </c>
      <c r="J123">
        <v>3.8</v>
      </c>
      <c r="K123">
        <v>2</v>
      </c>
      <c r="L123">
        <v>7.7</v>
      </c>
      <c r="M123">
        <v>99.9</v>
      </c>
      <c r="N123">
        <v>8.36</v>
      </c>
      <c r="P123">
        <v>78</v>
      </c>
      <c r="Q123">
        <v>8.91</v>
      </c>
      <c r="R123">
        <v>5.34</v>
      </c>
      <c r="S123">
        <v>26.78</v>
      </c>
      <c r="T123">
        <v>40.18</v>
      </c>
      <c r="U123">
        <v>0.14000000000000001</v>
      </c>
      <c r="V123">
        <v>175.06</v>
      </c>
      <c r="W123">
        <v>402.92</v>
      </c>
      <c r="X123">
        <v>10.19</v>
      </c>
      <c r="Y123" s="4">
        <v>384024.1570784403</v>
      </c>
      <c r="Z123" s="4">
        <v>708590.42751502525</v>
      </c>
    </row>
    <row r="124" spans="1:26" x14ac:dyDescent="0.25">
      <c r="A124" s="1">
        <v>45575</v>
      </c>
      <c r="B124" s="6" t="str">
        <f t="shared" si="2"/>
        <v>10-10</v>
      </c>
      <c r="C124" s="1" t="str">
        <f t="shared" si="3"/>
        <v>PSP</v>
      </c>
      <c r="D124" s="2">
        <v>0.4145833333333333</v>
      </c>
      <c r="E124">
        <v>13</v>
      </c>
      <c r="F124" t="s">
        <v>24</v>
      </c>
      <c r="G124" s="5">
        <v>1.9669000000000001</v>
      </c>
      <c r="H124" s="5">
        <v>6.4546000000000001</v>
      </c>
      <c r="I124">
        <v>29.6</v>
      </c>
      <c r="J124">
        <v>3.79</v>
      </c>
      <c r="K124">
        <v>2</v>
      </c>
      <c r="L124">
        <v>7.53</v>
      </c>
      <c r="M124">
        <v>98.3</v>
      </c>
      <c r="N124">
        <v>8.23</v>
      </c>
      <c r="P124">
        <v>76</v>
      </c>
      <c r="Q124">
        <v>9.18</v>
      </c>
      <c r="R124">
        <v>3.2</v>
      </c>
      <c r="S124">
        <v>10.57</v>
      </c>
      <c r="T124">
        <v>45.54</v>
      </c>
      <c r="U124">
        <v>0.13</v>
      </c>
      <c r="V124">
        <v>199</v>
      </c>
      <c r="W124">
        <v>395.25</v>
      </c>
      <c r="X124">
        <v>10.49</v>
      </c>
      <c r="Y124" s="4">
        <v>385759.62074491731</v>
      </c>
      <c r="Z124" s="4">
        <v>713573.25678037247</v>
      </c>
    </row>
    <row r="125" spans="1:26" x14ac:dyDescent="0.25">
      <c r="A125" s="1">
        <v>45575</v>
      </c>
      <c r="B125" s="6" t="str">
        <f t="shared" si="2"/>
        <v>10-10</v>
      </c>
      <c r="C125" s="1" t="str">
        <f t="shared" si="3"/>
        <v>PSP</v>
      </c>
      <c r="D125" s="2">
        <v>0.4368055555555555</v>
      </c>
      <c r="E125">
        <v>13</v>
      </c>
      <c r="F125" t="s">
        <v>25</v>
      </c>
      <c r="G125" s="5">
        <v>1.9933000000000001</v>
      </c>
      <c r="H125" s="5">
        <v>6.5007000000000001</v>
      </c>
      <c r="I125">
        <v>30.1</v>
      </c>
      <c r="J125">
        <v>2.82</v>
      </c>
      <c r="K125">
        <v>1.5</v>
      </c>
      <c r="L125">
        <v>8.0299999999999994</v>
      </c>
      <c r="M125">
        <v>106.3</v>
      </c>
      <c r="N125">
        <v>8.4</v>
      </c>
      <c r="P125">
        <v>61</v>
      </c>
      <c r="Q125">
        <v>15.36</v>
      </c>
      <c r="R125">
        <v>4.2699999999999996</v>
      </c>
      <c r="S125">
        <v>13.66</v>
      </c>
      <c r="T125">
        <v>26.93</v>
      </c>
      <c r="U125">
        <v>0.14000000000000001</v>
      </c>
      <c r="V125">
        <v>175.83</v>
      </c>
      <c r="W125">
        <v>372.27</v>
      </c>
      <c r="X125">
        <v>9.3000000000000007</v>
      </c>
      <c r="Y125" s="4">
        <v>388689.34009811806</v>
      </c>
      <c r="Z125" s="4">
        <v>718664.2720532401</v>
      </c>
    </row>
    <row r="126" spans="1:26" x14ac:dyDescent="0.25">
      <c r="A126" s="1">
        <v>45575</v>
      </c>
      <c r="B126" s="6" t="str">
        <f t="shared" si="2"/>
        <v>10-10</v>
      </c>
      <c r="C126" s="1" t="str">
        <f t="shared" si="3"/>
        <v>PSP</v>
      </c>
      <c r="D126" s="2">
        <v>0.45069444444444445</v>
      </c>
      <c r="E126">
        <v>13</v>
      </c>
      <c r="F126" t="s">
        <v>26</v>
      </c>
      <c r="G126" s="5">
        <v>1.984</v>
      </c>
      <c r="H126" s="5">
        <v>6.5294999999999996</v>
      </c>
      <c r="I126">
        <v>29.8</v>
      </c>
      <c r="J126">
        <v>1.74</v>
      </c>
      <c r="K126">
        <v>0.9</v>
      </c>
      <c r="L126">
        <v>8.09</v>
      </c>
      <c r="M126">
        <v>106.4</v>
      </c>
      <c r="N126">
        <v>8.26</v>
      </c>
      <c r="P126">
        <v>63</v>
      </c>
      <c r="Q126">
        <v>19.82</v>
      </c>
      <c r="R126">
        <v>3.2</v>
      </c>
      <c r="S126">
        <v>39.909999999999997</v>
      </c>
      <c r="T126">
        <v>29.18</v>
      </c>
      <c r="U126">
        <v>0.11</v>
      </c>
      <c r="V126">
        <v>167.34</v>
      </c>
      <c r="W126">
        <v>358.23</v>
      </c>
      <c r="X126">
        <v>6.02</v>
      </c>
      <c r="Y126" s="4">
        <v>387667.34262385243</v>
      </c>
      <c r="Z126" s="4">
        <v>721850.49534728227</v>
      </c>
    </row>
    <row r="127" spans="1:26" x14ac:dyDescent="0.25">
      <c r="A127" s="1">
        <v>45575</v>
      </c>
      <c r="B127" s="6" t="str">
        <f t="shared" si="2"/>
        <v>10-10</v>
      </c>
      <c r="C127" s="1" t="str">
        <f t="shared" si="3"/>
        <v>PSP</v>
      </c>
      <c r="D127" s="2">
        <v>0.4604166666666667</v>
      </c>
      <c r="E127">
        <v>13</v>
      </c>
      <c r="F127" t="s">
        <v>27</v>
      </c>
      <c r="G127" s="5">
        <v>1.9822</v>
      </c>
      <c r="H127" s="5">
        <v>6.5602</v>
      </c>
      <c r="I127">
        <v>30.1</v>
      </c>
      <c r="J127">
        <v>2.1</v>
      </c>
      <c r="K127">
        <v>1.1000000000000001</v>
      </c>
      <c r="L127">
        <v>7.87</v>
      </c>
      <c r="M127">
        <v>104.1</v>
      </c>
      <c r="N127">
        <v>8.25</v>
      </c>
      <c r="P127">
        <v>70</v>
      </c>
      <c r="Q127">
        <v>15.88</v>
      </c>
      <c r="R127">
        <v>9.61</v>
      </c>
      <c r="S127">
        <v>30.65</v>
      </c>
      <c r="T127">
        <v>35.950000000000003</v>
      </c>
      <c r="U127">
        <v>0.14000000000000001</v>
      </c>
      <c r="V127">
        <v>199.77</v>
      </c>
      <c r="W127">
        <v>410.58</v>
      </c>
      <c r="X127">
        <v>6.58</v>
      </c>
      <c r="Y127" s="4">
        <v>387475.18079440482</v>
      </c>
      <c r="Z127" s="4">
        <v>725245.13735641493</v>
      </c>
    </row>
    <row r="128" spans="1:26" x14ac:dyDescent="0.25">
      <c r="A128" s="1">
        <v>45575</v>
      </c>
      <c r="B128" s="6" t="str">
        <f t="shared" si="2"/>
        <v>10-10</v>
      </c>
      <c r="C128" s="1" t="str">
        <f t="shared" si="3"/>
        <v>PSP</v>
      </c>
      <c r="D128" s="2">
        <v>0.4694444444444445</v>
      </c>
      <c r="E128">
        <v>13</v>
      </c>
      <c r="F128" t="s">
        <v>28</v>
      </c>
      <c r="G128" s="5">
        <v>1.9809000000000001</v>
      </c>
      <c r="H128" s="5">
        <v>6.5894000000000004</v>
      </c>
      <c r="I128">
        <v>30.1</v>
      </c>
      <c r="J128">
        <v>0.7</v>
      </c>
      <c r="K128">
        <v>0.3</v>
      </c>
      <c r="L128">
        <v>6.82</v>
      </c>
      <c r="M128">
        <v>90</v>
      </c>
      <c r="N128">
        <v>7.8</v>
      </c>
      <c r="P128">
        <v>45</v>
      </c>
      <c r="Q128">
        <v>40.14</v>
      </c>
      <c r="R128">
        <v>3.2</v>
      </c>
      <c r="S128">
        <v>63.85</v>
      </c>
      <c r="T128">
        <v>39.9</v>
      </c>
      <c r="U128">
        <v>0.13</v>
      </c>
      <c r="V128">
        <v>158.07</v>
      </c>
      <c r="W128">
        <v>409.3</v>
      </c>
      <c r="X128">
        <v>6.24</v>
      </c>
      <c r="Y128" s="4">
        <v>387338.0175576139</v>
      </c>
      <c r="Z128" s="4">
        <v>728473.83219849819</v>
      </c>
    </row>
    <row r="129" spans="1:26" x14ac:dyDescent="0.25">
      <c r="A129" s="1">
        <v>45575</v>
      </c>
      <c r="B129" s="6" t="str">
        <f t="shared" si="2"/>
        <v>10-10</v>
      </c>
      <c r="C129" s="1" t="str">
        <f t="shared" si="3"/>
        <v>PSP</v>
      </c>
      <c r="D129" s="2">
        <v>0.51250000000000007</v>
      </c>
      <c r="E129">
        <v>13</v>
      </c>
      <c r="F129" t="s">
        <v>29</v>
      </c>
      <c r="G129" s="5">
        <v>1.9655</v>
      </c>
      <c r="H129" s="5">
        <v>6.4878</v>
      </c>
      <c r="I129">
        <v>29.4</v>
      </c>
      <c r="J129">
        <v>2.83</v>
      </c>
      <c r="K129">
        <v>1.4</v>
      </c>
      <c r="L129">
        <v>7.84</v>
      </c>
      <c r="M129">
        <v>102.4</v>
      </c>
      <c r="N129">
        <v>8.26</v>
      </c>
      <c r="P129">
        <v>80</v>
      </c>
      <c r="Q129">
        <v>15.02</v>
      </c>
      <c r="R129">
        <v>5.34</v>
      </c>
      <c r="S129">
        <v>32.96</v>
      </c>
      <c r="T129">
        <v>37.36</v>
      </c>
      <c r="U129">
        <v>0.11</v>
      </c>
      <c r="V129">
        <v>198.23</v>
      </c>
      <c r="W129">
        <v>392.7</v>
      </c>
      <c r="X129">
        <v>10.19</v>
      </c>
      <c r="Y129" s="4">
        <v>385612.26229542762</v>
      </c>
      <c r="Z129" s="4">
        <v>717244.22352549795</v>
      </c>
    </row>
    <row r="130" spans="1:26" x14ac:dyDescent="0.25">
      <c r="A130" s="1">
        <v>45575</v>
      </c>
      <c r="B130" s="6" t="str">
        <f t="shared" si="2"/>
        <v>10-10</v>
      </c>
      <c r="C130" s="1" t="str">
        <f t="shared" si="3"/>
        <v>PSP</v>
      </c>
      <c r="D130" s="2">
        <v>0.52708333333333335</v>
      </c>
      <c r="E130">
        <v>13</v>
      </c>
      <c r="F130" t="s">
        <v>30</v>
      </c>
      <c r="G130" s="5">
        <v>1.9373</v>
      </c>
      <c r="H130" s="5">
        <v>6.4568000000000003</v>
      </c>
      <c r="I130">
        <v>29.7</v>
      </c>
      <c r="J130">
        <v>3.2</v>
      </c>
      <c r="K130">
        <v>1.7</v>
      </c>
      <c r="L130">
        <v>8</v>
      </c>
      <c r="M130">
        <v>105.1</v>
      </c>
      <c r="N130">
        <v>8.4600000000000009</v>
      </c>
      <c r="P130">
        <v>64</v>
      </c>
      <c r="Q130">
        <v>18.96</v>
      </c>
      <c r="R130">
        <v>7.48</v>
      </c>
      <c r="S130">
        <v>28.33</v>
      </c>
      <c r="T130">
        <v>39.340000000000003</v>
      </c>
      <c r="U130">
        <v>0.21</v>
      </c>
      <c r="V130">
        <v>181.24</v>
      </c>
      <c r="W130">
        <v>395.25</v>
      </c>
      <c r="X130">
        <v>11.1</v>
      </c>
      <c r="Y130" s="4">
        <v>382486.59163122613</v>
      </c>
      <c r="Z130" s="4">
        <v>713823.2259921059</v>
      </c>
    </row>
    <row r="131" spans="1:26" x14ac:dyDescent="0.25">
      <c r="A131" s="1">
        <v>45575</v>
      </c>
      <c r="B131" s="6" t="str">
        <f t="shared" ref="B131" si="4">TEXT(A131, "MM-JJ")</f>
        <v>10-10</v>
      </c>
      <c r="C131" s="1" t="str">
        <f t="shared" ref="C131" si="5">IF(AND(B131&gt;="04-01", B131&lt;="07-01"), "GSP", IF(AND(B131&gt;="08-01", B131&lt;="09-01"), "PSS", IF(AND(B131&gt;="10-01", B131&lt;="11-01"), "PSP", "GSS")))</f>
        <v>PSP</v>
      </c>
      <c r="D131" s="2">
        <v>0.54027777777777775</v>
      </c>
      <c r="E131">
        <v>13</v>
      </c>
      <c r="F131" t="s">
        <v>31</v>
      </c>
      <c r="G131" s="5">
        <v>1.9348000000000001</v>
      </c>
      <c r="H131" s="5">
        <v>6.4222000000000001</v>
      </c>
      <c r="I131">
        <v>31.1</v>
      </c>
      <c r="J131">
        <v>4.2</v>
      </c>
      <c r="K131">
        <v>2.2999999999999998</v>
      </c>
      <c r="L131">
        <v>7.89</v>
      </c>
      <c r="M131">
        <v>105.1</v>
      </c>
      <c r="N131">
        <v>8.4</v>
      </c>
      <c r="P131">
        <v>68</v>
      </c>
      <c r="Q131">
        <v>21.74</v>
      </c>
      <c r="R131">
        <v>10.68</v>
      </c>
      <c r="S131">
        <v>34.51</v>
      </c>
      <c r="T131">
        <v>62.46</v>
      </c>
      <c r="U131">
        <v>0.17</v>
      </c>
      <c r="V131">
        <v>185.87</v>
      </c>
      <c r="W131">
        <v>436.11</v>
      </c>
      <c r="X131">
        <v>11.99</v>
      </c>
      <c r="Y131" s="4">
        <v>382202.13294807624</v>
      </c>
      <c r="Z131" s="4">
        <v>709998.33191742201</v>
      </c>
    </row>
  </sheetData>
  <autoFilter ref="A1:Z131" xr:uid="{379FE80B-4FBF-4C58-8B8A-42610D8562A4}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93F1-A4A5-490C-9B6E-6675F037D109}">
  <dimension ref="A1:B22"/>
  <sheetViews>
    <sheetView workbookViewId="0">
      <selection activeCell="B14" sqref="B14"/>
    </sheetView>
  </sheetViews>
  <sheetFormatPr baseColWidth="10" defaultRowHeight="15" x14ac:dyDescent="0.25"/>
  <cols>
    <col min="1" max="1" width="11.85546875" bestFit="1" customWidth="1"/>
    <col min="2" max="2" width="41.42578125" bestFit="1" customWidth="1"/>
  </cols>
  <sheetData>
    <row r="1" spans="1:2" x14ac:dyDescent="0.25">
      <c r="A1" t="s">
        <v>0</v>
      </c>
      <c r="B1" t="s">
        <v>41</v>
      </c>
    </row>
    <row r="2" spans="1:2" x14ac:dyDescent="0.25">
      <c r="A2" t="s">
        <v>1</v>
      </c>
      <c r="B2" t="s">
        <v>42</v>
      </c>
    </row>
    <row r="3" spans="1:2" x14ac:dyDescent="0.25">
      <c r="A3" t="s">
        <v>2</v>
      </c>
      <c r="B3" t="s">
        <v>46</v>
      </c>
    </row>
    <row r="4" spans="1:2" x14ac:dyDescent="0.25">
      <c r="A4" t="s">
        <v>3</v>
      </c>
      <c r="B4" t="s">
        <v>43</v>
      </c>
    </row>
    <row r="5" spans="1:2" x14ac:dyDescent="0.25">
      <c r="A5" t="s">
        <v>4</v>
      </c>
      <c r="B5" t="s">
        <v>44</v>
      </c>
    </row>
    <row r="6" spans="1:2" x14ac:dyDescent="0.25">
      <c r="A6" t="s">
        <v>5</v>
      </c>
      <c r="B6" t="s">
        <v>45</v>
      </c>
    </row>
    <row r="7" spans="1:2" x14ac:dyDescent="0.25">
      <c r="A7" t="s">
        <v>6</v>
      </c>
      <c r="B7" t="s">
        <v>32</v>
      </c>
    </row>
    <row r="8" spans="1:2" x14ac:dyDescent="0.25">
      <c r="A8" t="s">
        <v>7</v>
      </c>
      <c r="B8" t="s">
        <v>33</v>
      </c>
    </row>
    <row r="9" spans="1:2" x14ac:dyDescent="0.25">
      <c r="A9" t="s">
        <v>8</v>
      </c>
      <c r="B9" t="s">
        <v>34</v>
      </c>
    </row>
    <row r="10" spans="1:2" x14ac:dyDescent="0.25">
      <c r="A10" t="s">
        <v>9</v>
      </c>
      <c r="B10" t="s">
        <v>35</v>
      </c>
    </row>
    <row r="11" spans="1:2" x14ac:dyDescent="0.25">
      <c r="A11" t="s">
        <v>10</v>
      </c>
      <c r="B11" t="s">
        <v>36</v>
      </c>
    </row>
    <row r="12" spans="1:2" x14ac:dyDescent="0.25">
      <c r="A12" t="s">
        <v>11</v>
      </c>
    </row>
    <row r="13" spans="1:2" x14ac:dyDescent="0.25">
      <c r="A13" t="s">
        <v>12</v>
      </c>
      <c r="B13" t="s">
        <v>37</v>
      </c>
    </row>
    <row r="14" spans="1:2" x14ac:dyDescent="0.25">
      <c r="A14" t="s">
        <v>13</v>
      </c>
      <c r="B14" t="s">
        <v>38</v>
      </c>
    </row>
    <row r="15" spans="1:2" x14ac:dyDescent="0.25">
      <c r="A15" t="s">
        <v>14</v>
      </c>
      <c r="B15" t="s">
        <v>39</v>
      </c>
    </row>
    <row r="16" spans="1:2" x14ac:dyDescent="0.25">
      <c r="A16" t="s">
        <v>15</v>
      </c>
      <c r="B16" t="s">
        <v>40</v>
      </c>
    </row>
    <row r="17" spans="1:2" x14ac:dyDescent="0.25">
      <c r="A17" t="s">
        <v>16</v>
      </c>
      <c r="B17" t="s">
        <v>40</v>
      </c>
    </row>
    <row r="18" spans="1:2" x14ac:dyDescent="0.25">
      <c r="A18" t="s">
        <v>17</v>
      </c>
      <c r="B18" t="s">
        <v>40</v>
      </c>
    </row>
    <row r="19" spans="1:2" x14ac:dyDescent="0.25">
      <c r="A19" t="s">
        <v>18</v>
      </c>
      <c r="B19" t="s">
        <v>35</v>
      </c>
    </row>
    <row r="20" spans="1:2" x14ac:dyDescent="0.25">
      <c r="A20" t="s">
        <v>19</v>
      </c>
      <c r="B20" t="s">
        <v>40</v>
      </c>
    </row>
    <row r="21" spans="1:2" x14ac:dyDescent="0.25">
      <c r="A21" t="s">
        <v>20</v>
      </c>
      <c r="B21" t="s">
        <v>40</v>
      </c>
    </row>
    <row r="22" spans="1:2" x14ac:dyDescent="0.25">
      <c r="A22" t="s">
        <v>21</v>
      </c>
      <c r="B2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2144-256D-4B57-AD41-396474C4E785}">
  <dimension ref="A1:L11"/>
  <sheetViews>
    <sheetView tabSelected="1" workbookViewId="0">
      <selection sqref="A1:L11"/>
    </sheetView>
  </sheetViews>
  <sheetFormatPr baseColWidth="10" defaultRowHeight="15" x14ac:dyDescent="0.25"/>
  <cols>
    <col min="1" max="1" width="10.7109375" bestFit="1" customWidth="1"/>
    <col min="2" max="3" width="14.85546875" bestFit="1" customWidth="1"/>
    <col min="4" max="12" width="12" bestFit="1" customWidth="1"/>
  </cols>
  <sheetData>
    <row r="1" spans="1:12" x14ac:dyDescent="0.25">
      <c r="A1" t="s">
        <v>3</v>
      </c>
      <c r="B1" t="s">
        <v>6</v>
      </c>
      <c r="C1" t="s">
        <v>7</v>
      </c>
      <c r="D1" t="s">
        <v>9</v>
      </c>
      <c r="E1" t="s">
        <v>11</v>
      </c>
      <c r="F1" t="s">
        <v>14</v>
      </c>
      <c r="G1" t="s">
        <v>49</v>
      </c>
      <c r="H1" t="s">
        <v>50</v>
      </c>
      <c r="I1" t="s">
        <v>51</v>
      </c>
      <c r="J1" t="s">
        <v>53</v>
      </c>
      <c r="K1" t="s">
        <v>20</v>
      </c>
      <c r="L1" t="s">
        <v>21</v>
      </c>
    </row>
    <row r="2" spans="1:12" x14ac:dyDescent="0.25">
      <c r="A2" s="9" t="s">
        <v>22</v>
      </c>
      <c r="B2" s="10">
        <v>28.853846149999999</v>
      </c>
      <c r="C2" s="10">
        <v>13829.23077</v>
      </c>
      <c r="D2" s="10">
        <v>6.4953846149999999</v>
      </c>
      <c r="E2" s="10">
        <v>7.9415384619999996</v>
      </c>
      <c r="F2" s="10">
        <v>48.890769229999997</v>
      </c>
      <c r="G2" s="10">
        <v>4.267692308</v>
      </c>
      <c r="H2" s="10">
        <v>5.9684619999999999E-3</v>
      </c>
      <c r="I2" s="10">
        <v>8.5796922999999997E-2</v>
      </c>
      <c r="J2" s="10">
        <v>0.11898307700000001</v>
      </c>
      <c r="K2" s="10">
        <v>0.218906923</v>
      </c>
      <c r="L2" s="10">
        <v>1.7283077000000001E-2</v>
      </c>
    </row>
    <row r="3" spans="1:12" x14ac:dyDescent="0.25">
      <c r="A3" s="9" t="s">
        <v>31</v>
      </c>
      <c r="B3" s="10">
        <v>30.638461540000002</v>
      </c>
      <c r="C3" s="10">
        <v>8596.9230769999995</v>
      </c>
      <c r="D3" s="10">
        <v>7.4553846149999998</v>
      </c>
      <c r="E3" s="10">
        <v>8.2511538459999993</v>
      </c>
      <c r="F3" s="10">
        <v>52.576153849999997</v>
      </c>
      <c r="G3" s="10">
        <v>6.7953846149999997</v>
      </c>
      <c r="H3" s="10">
        <v>7.8438459999999998E-3</v>
      </c>
      <c r="I3" s="10">
        <v>7.0325385000000004E-2</v>
      </c>
      <c r="J3" s="10">
        <v>0.14938230799999999</v>
      </c>
      <c r="K3" s="10">
        <v>0.25990089700000002</v>
      </c>
      <c r="L3" s="10">
        <v>2.1863718000000001E-2</v>
      </c>
    </row>
    <row r="4" spans="1:12" x14ac:dyDescent="0.25">
      <c r="A4" s="9" t="s">
        <v>23</v>
      </c>
      <c r="B4" s="10">
        <v>28.753846150000001</v>
      </c>
      <c r="C4" s="10">
        <v>8705.3846150000008</v>
      </c>
      <c r="D4" s="10">
        <v>7.328461538</v>
      </c>
      <c r="E4" s="10">
        <v>8.3007692310000003</v>
      </c>
      <c r="F4" s="10">
        <v>44.244615379999999</v>
      </c>
      <c r="G4" s="10">
        <v>5.806153846</v>
      </c>
      <c r="H4" s="10">
        <v>6.5946149999999999E-3</v>
      </c>
      <c r="I4" s="10">
        <v>6.9215385000000004E-2</v>
      </c>
      <c r="J4" s="10">
        <v>0.13022692299999999</v>
      </c>
      <c r="K4" s="10">
        <v>0.26064923099999998</v>
      </c>
      <c r="L4" s="10">
        <v>1.7903846000000001E-2</v>
      </c>
    </row>
    <row r="5" spans="1:12" x14ac:dyDescent="0.25">
      <c r="A5" s="9" t="s">
        <v>24</v>
      </c>
      <c r="B5" s="10">
        <v>29.11538462</v>
      </c>
      <c r="C5" s="10">
        <v>6029.2307689999998</v>
      </c>
      <c r="D5" s="10">
        <v>7.3776923080000003</v>
      </c>
      <c r="E5" s="10">
        <v>8.2615384620000007</v>
      </c>
      <c r="F5" s="10">
        <v>30.055384620000002</v>
      </c>
      <c r="G5" s="10">
        <v>3.8615384619999999</v>
      </c>
      <c r="H5" s="10">
        <v>6.2653850000000001E-3</v>
      </c>
      <c r="I5" s="10">
        <v>6.0503846E-2</v>
      </c>
      <c r="J5" s="10">
        <v>0.167920769</v>
      </c>
      <c r="K5" s="10">
        <v>0.25358999999999998</v>
      </c>
      <c r="L5" s="10">
        <v>1.8590769E-2</v>
      </c>
    </row>
    <row r="6" spans="1:12" x14ac:dyDescent="0.25">
      <c r="A6" s="9" t="s">
        <v>25</v>
      </c>
      <c r="B6" s="10">
        <v>29.330769230000001</v>
      </c>
      <c r="C6" s="10">
        <v>4544.6153850000001</v>
      </c>
      <c r="D6" s="10">
        <v>7.4861538459999997</v>
      </c>
      <c r="E6" s="10">
        <v>8.2792307689999998</v>
      </c>
      <c r="F6" s="10">
        <v>28.697692310000001</v>
      </c>
      <c r="G6" s="10">
        <v>4.05</v>
      </c>
      <c r="H6" s="10">
        <v>7.0884620000000002E-3</v>
      </c>
      <c r="I6" s="10">
        <v>5.1003845999999999E-2</v>
      </c>
      <c r="J6" s="10">
        <v>0.16344692299999999</v>
      </c>
      <c r="K6" s="10">
        <v>0.28070153799999997</v>
      </c>
      <c r="L6" s="10">
        <v>1.7386154000000001E-2</v>
      </c>
    </row>
    <row r="7" spans="1:12" x14ac:dyDescent="0.25">
      <c r="A7" s="9" t="s">
        <v>26</v>
      </c>
      <c r="B7" s="10">
        <v>29.323076919999998</v>
      </c>
      <c r="C7" s="10">
        <v>3207.6923080000001</v>
      </c>
      <c r="D7" s="10">
        <v>7.346153846</v>
      </c>
      <c r="E7" s="10">
        <v>8.2688461540000002</v>
      </c>
      <c r="F7" s="10">
        <v>27.373846149999999</v>
      </c>
      <c r="G7" s="10">
        <v>3.84</v>
      </c>
      <c r="H7" s="10">
        <v>8.0369229999999996E-3</v>
      </c>
      <c r="I7" s="10">
        <v>5.5063077000000002E-2</v>
      </c>
      <c r="J7" s="10">
        <v>0.18018769200000001</v>
      </c>
      <c r="K7" s="10">
        <v>0.274037692</v>
      </c>
      <c r="L7" s="10">
        <v>1.9026923000000001E-2</v>
      </c>
    </row>
    <row r="8" spans="1:12" x14ac:dyDescent="0.25">
      <c r="A8" s="9" t="s">
        <v>27</v>
      </c>
      <c r="B8" s="10">
        <v>29.338461540000001</v>
      </c>
      <c r="C8" s="10">
        <v>2390.7692310000002</v>
      </c>
      <c r="D8" s="10">
        <v>7.2907692309999996</v>
      </c>
      <c r="E8" s="10">
        <v>8.2311538459999998</v>
      </c>
      <c r="F8" s="10">
        <v>28.07692308</v>
      </c>
      <c r="G8" s="10">
        <v>6.1430769229999997</v>
      </c>
      <c r="H8" s="10">
        <v>9.5769229999999993E-3</v>
      </c>
      <c r="I8" s="10">
        <v>6.2574615E-2</v>
      </c>
      <c r="J8" s="10">
        <v>0.18565615399999999</v>
      </c>
      <c r="K8" s="10">
        <v>0.294579231</v>
      </c>
      <c r="L8" s="10">
        <v>1.6763077000000001E-2</v>
      </c>
    </row>
    <row r="9" spans="1:12" x14ac:dyDescent="0.25">
      <c r="A9" s="9" t="s">
        <v>28</v>
      </c>
      <c r="B9" s="10">
        <v>29.661538459999999</v>
      </c>
      <c r="C9" s="10">
        <v>2505.3846149999999</v>
      </c>
      <c r="D9" s="10">
        <v>6.3507692310000001</v>
      </c>
      <c r="E9" s="10">
        <v>8.0680769229999996</v>
      </c>
      <c r="F9" s="10">
        <v>26.606153849999998</v>
      </c>
      <c r="G9" s="10">
        <v>5.309230769</v>
      </c>
      <c r="H9" s="10">
        <v>1.1097691999999999E-2</v>
      </c>
      <c r="I9" s="10">
        <v>5.8513076999999997E-2</v>
      </c>
      <c r="J9" s="10">
        <v>0.170393077</v>
      </c>
      <c r="K9" s="10">
        <v>0.28685538500000002</v>
      </c>
      <c r="L9" s="10">
        <v>1.4293846000000001E-2</v>
      </c>
    </row>
    <row r="10" spans="1:12" x14ac:dyDescent="0.25">
      <c r="A10" s="9" t="s">
        <v>29</v>
      </c>
      <c r="B10" s="10">
        <v>29.861538459999998</v>
      </c>
      <c r="C10" s="10">
        <v>4780</v>
      </c>
      <c r="D10" s="10">
        <v>7.62</v>
      </c>
      <c r="E10" s="10">
        <v>8.3219230769999992</v>
      </c>
      <c r="F10" s="10">
        <v>39.066153849999999</v>
      </c>
      <c r="G10" s="10">
        <v>4.6176923079999996</v>
      </c>
      <c r="H10" s="10">
        <v>7.3846149999999998E-3</v>
      </c>
      <c r="I10" s="10">
        <v>5.5979230999999997E-2</v>
      </c>
      <c r="J10" s="10">
        <v>0.184136154</v>
      </c>
      <c r="K10" s="10">
        <v>0.28132769200000002</v>
      </c>
      <c r="L10" s="10">
        <v>1.9214615000000001E-2</v>
      </c>
    </row>
    <row r="11" spans="1:12" x14ac:dyDescent="0.25">
      <c r="A11" s="9" t="s">
        <v>30</v>
      </c>
      <c r="B11" s="10">
        <v>29.830769230000001</v>
      </c>
      <c r="C11" s="10">
        <v>6250</v>
      </c>
      <c r="D11" s="10">
        <v>7.788461538</v>
      </c>
      <c r="E11" s="10">
        <v>8.3642307690000006</v>
      </c>
      <c r="F11" s="10">
        <v>50.520769229999999</v>
      </c>
      <c r="G11" s="10">
        <v>5.2446153850000004</v>
      </c>
      <c r="H11" s="10">
        <v>7.6315380000000002E-3</v>
      </c>
      <c r="I11" s="10">
        <v>5.3766153999999997E-2</v>
      </c>
      <c r="J11" s="10">
        <v>0.16876307700000001</v>
      </c>
      <c r="K11" s="10">
        <v>0.27711000000000002</v>
      </c>
      <c r="L11" s="10">
        <v>1.8313077000000001E-2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7FCB-74B2-4816-A8B8-5C5AAAC3E18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C69E61-CCA9-4033-87AA-D7E8DFB049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Data_Aheme</vt:lpstr>
      <vt:lpstr>Metadata</vt:lpstr>
      <vt:lpstr>df_aheme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Romaric HEKPAZO</dc:creator>
  <cp:lastModifiedBy>INGENIEUR</cp:lastModifiedBy>
  <dcterms:created xsi:type="dcterms:W3CDTF">2025-08-04T16:28:37Z</dcterms:created>
  <dcterms:modified xsi:type="dcterms:W3CDTF">2025-10-24T22:04:11Z</dcterms:modified>
</cp:coreProperties>
</file>